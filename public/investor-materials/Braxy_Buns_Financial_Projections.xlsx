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ft11663357-my.sharepoint.com/personal/dbosworth_scebrokerage_com/Documents/Desktop/BB CW investors/"/>
    </mc:Choice>
  </mc:AlternateContent>
  <xr:revisionPtr revIDLastSave="0" documentId="8_{C672460D-A7D0-4FE8-874B-6F7FDFB02B63}" xr6:coauthVersionLast="47" xr6:coauthVersionMax="47" xr10:uidLastSave="{00000000-0000-0000-0000-000000000000}"/>
  <bookViews>
    <workbookView xWindow="18915" yWindow="2250" windowWidth="21600" windowHeight="11295" activeTab="2" xr2:uid="{00000000-000D-0000-FFFF-FFFF00000000}"/>
  </bookViews>
  <sheets>
    <sheet name="5-Year Projections" sheetId="1" r:id="rId1"/>
    <sheet name="Assumptions" sheetId="2" r:id="rId2"/>
    <sheet name="Investor Returns" sheetId="3" r:id="rId3"/>
  </sheets>
  <calcPr calcId="0"/>
</workbook>
</file>

<file path=xl/sharedStrings.xml><?xml version="1.0" encoding="utf-8"?>
<sst xmlns="http://schemas.openxmlformats.org/spreadsheetml/2006/main" count="55" uniqueCount="52">
  <si>
    <t>Metric</t>
  </si>
  <si>
    <t>Year 1</t>
  </si>
  <si>
    <t>Year 2</t>
  </si>
  <si>
    <t>Year 3</t>
  </si>
  <si>
    <t>Year 4</t>
  </si>
  <si>
    <t>Year 5</t>
  </si>
  <si>
    <t>Cars Washed</t>
  </si>
  <si>
    <t>Average Ticket</t>
  </si>
  <si>
    <t>Membership Revenue</t>
  </si>
  <si>
    <t>Retail / Other Revenue</t>
  </si>
  <si>
    <t>Total Revenue</t>
  </si>
  <si>
    <t>Operating Expenses</t>
  </si>
  <si>
    <t>NOI / EBITDA</t>
  </si>
  <si>
    <t>Debt Service</t>
  </si>
  <si>
    <t>Cash Flow Before Tax</t>
  </si>
  <si>
    <t>Assumption</t>
  </si>
  <si>
    <t>Value</t>
  </si>
  <si>
    <t>Tunnel Length</t>
  </si>
  <si>
    <t>120 Feet</t>
  </si>
  <si>
    <t>Vacuum Stalls</t>
  </si>
  <si>
    <t>18</t>
  </si>
  <si>
    <t>Land Size</t>
  </si>
  <si>
    <t>1.5 Acres</t>
  </si>
  <si>
    <t>Average Ticket Starting</t>
  </si>
  <si>
    <t>$16.50</t>
  </si>
  <si>
    <t>Monthly Membership Growth</t>
  </si>
  <si>
    <t>15-20% annually</t>
  </si>
  <si>
    <t>Project Cost</t>
  </si>
  <si>
    <t>$8.75M</t>
  </si>
  <si>
    <t>Senior Debt</t>
  </si>
  <si>
    <t>70%</t>
  </si>
  <si>
    <t>Investor Equity</t>
  </si>
  <si>
    <t>30%</t>
  </si>
  <si>
    <t>Stabilized EBITDA Margin</t>
  </si>
  <si>
    <t>60%+</t>
  </si>
  <si>
    <t>Target Hold Period</t>
  </si>
  <si>
    <t>5 Years</t>
  </si>
  <si>
    <t>Initial Equity Investment</t>
  </si>
  <si>
    <t>$2,625,000</t>
  </si>
  <si>
    <t>Projected Year 5 EBITDA</t>
  </si>
  <si>
    <t>$4,542,500</t>
  </si>
  <si>
    <t>Estimated Exit Multiple</t>
  </si>
  <si>
    <t>8.0x</t>
  </si>
  <si>
    <t>Estimated Exit Value</t>
  </si>
  <si>
    <t>$36,340,000</t>
  </si>
  <si>
    <t>Estimated Debt Balance</t>
  </si>
  <si>
    <t>$5,100,000</t>
  </si>
  <si>
    <t>Estimated Net Sale Proceeds</t>
  </si>
  <si>
    <t>$31,240,000</t>
  </si>
  <si>
    <t>Estimated Investor Equity Value</t>
  </si>
  <si>
    <t>Approximate Equity Multiple</t>
  </si>
  <si>
    <t>11.9x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</si>
</sst>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2B4B"/>
        <bgColor rgb="FF0A2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Braxy Buns Revenue Growth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Projections'!$B$6</c:f>
              <c:numCache>
                <c:formatCode>\$#,##0</c:formatCode>
                <c:ptCount val="1"/>
                <c:pt idx="0">
                  <c:v>3457500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50-4FA5-A9DF-BF8622BAC66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Projections'!$C$6</c:f>
              <c:numCache>
                <c:formatCode>\$#,##0</c:formatCode>
                <c:ptCount val="1"/>
                <c:pt idx="0">
                  <c:v>4560000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50-4FA5-A9DF-BF8622BAC66D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Projections'!$D$6</c:f>
              <c:numCache>
                <c:formatCode>\$#,##0</c:formatCode>
                <c:ptCount val="1"/>
                <c:pt idx="0">
                  <c:v>5570000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E50-4FA5-A9DF-BF8622BAC66D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Projections'!$E$6</c:f>
              <c:numCache>
                <c:formatCode>\$#,##0</c:formatCode>
                <c:ptCount val="1"/>
                <c:pt idx="0">
                  <c:v>6500000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E50-4FA5-A9DF-BF8622BAC66D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Projections'!$F$6</c:f>
              <c:numCache>
                <c:formatCode>\$#,##0</c:formatCode>
                <c:ptCount val="1"/>
                <c:pt idx="0">
                  <c:v>7217500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E50-4FA5-A9DF-BF8622BAC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Projected EBITDA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Projections'!$B$7</c:f>
              <c:numCache>
                <c:formatCode>\$#,##0</c:formatCode>
                <c:ptCount val="1"/>
                <c:pt idx="0">
                  <c:v>1550000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1-4905-BE25-7DBADBFB9197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Projections'!$C$7</c:f>
              <c:numCache>
                <c:formatCode>\$#,##0</c:formatCode>
                <c:ptCount val="1"/>
                <c:pt idx="0">
                  <c:v>1850000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1-4905-BE25-7DBADBFB9197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Projections'!$D$7</c:f>
              <c:numCache>
                <c:formatCode>\$#,##0</c:formatCode>
                <c:ptCount val="1"/>
                <c:pt idx="0">
                  <c:v>2150000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01-4905-BE25-7DBADBFB9197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Projections'!$E$7</c:f>
              <c:numCache>
                <c:formatCode>\$#,##0</c:formatCode>
                <c:ptCount val="1"/>
                <c:pt idx="0">
                  <c:v>2450000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01-4905-BE25-7DBADBFB9197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'5-Year Projections'!$B$1:$F$1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Projections'!$F$7</c:f>
              <c:numCache>
                <c:formatCode>\$#,##0</c:formatCode>
                <c:ptCount val="1"/>
                <c:pt idx="0">
                  <c:v>2675000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01-4905-BE25-7DBADBFB919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EBITDA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/>
  </sheetViews>
  <sheetFormatPr defaultRowHeight="15" x14ac:dyDescent="0.25"/>
  <cols>
    <col min="1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165000</v>
      </c>
      <c r="C2">
        <v>205000</v>
      </c>
      <c r="D2">
        <v>240000</v>
      </c>
      <c r="E2">
        <v>270000</v>
      </c>
      <c r="F2">
        <v>295000</v>
      </c>
    </row>
    <row r="3" spans="1:6" x14ac:dyDescent="0.25">
      <c r="A3" s="2" t="s">
        <v>7</v>
      </c>
      <c r="B3">
        <v>16.5</v>
      </c>
      <c r="C3">
        <v>17</v>
      </c>
      <c r="D3">
        <v>17.5</v>
      </c>
      <c r="E3">
        <v>18</v>
      </c>
      <c r="F3">
        <v>18.5</v>
      </c>
    </row>
    <row r="4" spans="1:6" x14ac:dyDescent="0.25">
      <c r="A4" s="2" t="s">
        <v>8</v>
      </c>
      <c r="B4">
        <v>650000</v>
      </c>
      <c r="C4">
        <v>975000</v>
      </c>
      <c r="D4">
        <v>1250000</v>
      </c>
      <c r="E4">
        <v>1500000</v>
      </c>
      <c r="F4">
        <v>1725000</v>
      </c>
    </row>
    <row r="5" spans="1:6" x14ac:dyDescent="0.25">
      <c r="A5" s="2" t="s">
        <v>9</v>
      </c>
      <c r="B5" s="3">
        <v>85000</v>
      </c>
      <c r="C5" s="3">
        <v>100000</v>
      </c>
      <c r="D5" s="3">
        <v>120000</v>
      </c>
      <c r="E5" s="3">
        <v>140000</v>
      </c>
      <c r="F5" s="3">
        <v>160000</v>
      </c>
    </row>
    <row r="6" spans="1:6" x14ac:dyDescent="0.25">
      <c r="A6" s="2" t="s">
        <v>10</v>
      </c>
      <c r="B6" s="3">
        <v>3457500</v>
      </c>
      <c r="C6" s="3">
        <v>4560000</v>
      </c>
      <c r="D6" s="3">
        <v>5570000</v>
      </c>
      <c r="E6" s="3">
        <v>6500000</v>
      </c>
      <c r="F6" s="3">
        <v>7217500</v>
      </c>
    </row>
    <row r="7" spans="1:6" x14ac:dyDescent="0.25">
      <c r="A7" s="2" t="s">
        <v>11</v>
      </c>
      <c r="B7" s="3">
        <v>1550000</v>
      </c>
      <c r="C7" s="3">
        <v>1850000</v>
      </c>
      <c r="D7" s="3">
        <v>2150000</v>
      </c>
      <c r="E7" s="3">
        <v>2450000</v>
      </c>
      <c r="F7" s="3">
        <v>2675000</v>
      </c>
    </row>
    <row r="8" spans="1:6" x14ac:dyDescent="0.25">
      <c r="A8" s="2" t="s">
        <v>12</v>
      </c>
      <c r="B8" s="3">
        <v>1907500</v>
      </c>
      <c r="C8" s="3">
        <v>2710000</v>
      </c>
      <c r="D8" s="3">
        <v>3420000</v>
      </c>
      <c r="E8" s="3">
        <v>4050000</v>
      </c>
      <c r="F8" s="3">
        <v>4542500</v>
      </c>
    </row>
    <row r="9" spans="1:6" x14ac:dyDescent="0.25">
      <c r="A9" s="2" t="s">
        <v>13</v>
      </c>
      <c r="B9" s="3">
        <v>675000</v>
      </c>
      <c r="C9" s="3">
        <v>675000</v>
      </c>
      <c r="D9" s="3">
        <v>675000</v>
      </c>
      <c r="E9" s="3">
        <v>675000</v>
      </c>
      <c r="F9" s="3">
        <v>675000</v>
      </c>
    </row>
    <row r="10" spans="1:6" x14ac:dyDescent="0.25">
      <c r="A10" s="2" t="s">
        <v>14</v>
      </c>
      <c r="B10">
        <v>1232500</v>
      </c>
      <c r="C10">
        <v>2035000</v>
      </c>
      <c r="D10">
        <v>2745000</v>
      </c>
      <c r="E10">
        <v>3375000</v>
      </c>
      <c r="F10">
        <v>3867500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35" customWidth="1"/>
    <col min="2" max="2" width="25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20</v>
      </c>
    </row>
    <row r="4" spans="1:2" x14ac:dyDescent="0.25">
      <c r="A4" t="s">
        <v>21</v>
      </c>
      <c r="B4" t="s">
        <v>22</v>
      </c>
    </row>
    <row r="5" spans="1:2" x14ac:dyDescent="0.25">
      <c r="A5" t="s">
        <v>23</v>
      </c>
      <c r="B5" t="s">
        <v>24</v>
      </c>
    </row>
    <row r="6" spans="1:2" x14ac:dyDescent="0.25">
      <c r="A6" t="s">
        <v>25</v>
      </c>
      <c r="B6" t="s">
        <v>26</v>
      </c>
    </row>
    <row r="7" spans="1:2" x14ac:dyDescent="0.25">
      <c r="A7" t="s">
        <v>27</v>
      </c>
      <c r="B7" t="s">
        <v>28</v>
      </c>
    </row>
    <row r="8" spans="1:2" x14ac:dyDescent="0.25">
      <c r="A8" t="s">
        <v>29</v>
      </c>
      <c r="B8" t="s">
        <v>30</v>
      </c>
    </row>
    <row r="9" spans="1:2" x14ac:dyDescent="0.25">
      <c r="A9" t="s">
        <v>31</v>
      </c>
      <c r="B9" t="s">
        <v>32</v>
      </c>
    </row>
    <row r="10" spans="1:2" x14ac:dyDescent="0.25">
      <c r="A10" t="s">
        <v>33</v>
      </c>
      <c r="B10" t="s">
        <v>34</v>
      </c>
    </row>
    <row r="11" spans="1:2" x14ac:dyDescent="0.25">
      <c r="A11" t="s">
        <v>35</v>
      </c>
      <c r="B1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/>
  </sheetViews>
  <sheetFormatPr defaultRowHeight="15" x14ac:dyDescent="0.25"/>
  <cols>
    <col min="1" max="1" width="40" customWidth="1"/>
    <col min="2" max="2" width="25" customWidth="1"/>
  </cols>
  <sheetData>
    <row r="1" spans="1:2" x14ac:dyDescent="0.25">
      <c r="A1" s="1" t="s">
        <v>0</v>
      </c>
      <c r="B1" s="1" t="s">
        <v>16</v>
      </c>
    </row>
    <row r="2" spans="1:2" x14ac:dyDescent="0.25">
      <c r="A2" t="s">
        <v>37</v>
      </c>
      <c r="B2" t="s">
        <v>38</v>
      </c>
    </row>
    <row r="3" spans="1:2" x14ac:dyDescent="0.25">
      <c r="A3" t="s">
        <v>39</v>
      </c>
      <c r="B3" t="s">
        <v>40</v>
      </c>
    </row>
    <row r="4" spans="1:2" x14ac:dyDescent="0.25">
      <c r="A4" t="s">
        <v>41</v>
      </c>
      <c r="B4" t="s">
        <v>42</v>
      </c>
    </row>
    <row r="5" spans="1:2" x14ac:dyDescent="0.25">
      <c r="A5" t="s">
        <v>43</v>
      </c>
      <c r="B5" t="s">
        <v>44</v>
      </c>
    </row>
    <row r="6" spans="1:2" x14ac:dyDescent="0.25">
      <c r="A6" t="s">
        <v>45</v>
      </c>
      <c r="B6" t="s">
        <v>46</v>
      </c>
    </row>
    <row r="7" spans="1:2" x14ac:dyDescent="0.25">
      <c r="A7" t="s">
        <v>47</v>
      </c>
      <c r="B7" t="s">
        <v>48</v>
      </c>
    </row>
    <row r="8" spans="1:2" x14ac:dyDescent="0.25">
      <c r="A8" t="s">
        <v>49</v>
      </c>
      <c r="B8" t="s">
        <v>48</v>
      </c>
    </row>
    <row r="9" spans="1:2" x14ac:dyDescent="0.25">
      <c r="A9" t="s">
        <v>50</v>
      </c>
      <c r="B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5-Year Projections</vt:lpstr>
      <vt:lpstr>Assumptions</vt:lpstr>
      <vt:lpstr>Investor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Bosworth</cp:lastModifiedBy>
  <dcterms:created xsi:type="dcterms:W3CDTF">2026-05-14T17:30:44Z</dcterms:created>
  <dcterms:modified xsi:type="dcterms:W3CDTF">2026-05-14T17:33:29Z</dcterms:modified>
</cp:coreProperties>
</file>