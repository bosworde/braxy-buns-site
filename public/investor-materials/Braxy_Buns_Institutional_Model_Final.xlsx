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netorgft11663357-my.sharepoint.com/personal/dbosworth_scebrokerage_com/Documents/Desktop/BB CW investors/"/>
    </mc:Choice>
  </mc:AlternateContent>
  <xr:revisionPtr revIDLastSave="0" documentId="8_{310D2562-4210-4A15-B204-EF80397FDD9B}" xr6:coauthVersionLast="47" xr6:coauthVersionMax="47" xr10:uidLastSave="{00000000-0000-0000-0000-000000000000}"/>
  <bookViews>
    <workbookView xWindow="17205" yWindow="2955" windowWidth="26100" windowHeight="10800" activeTab="1" xr2:uid="{00000000-000D-0000-FFFF-FFFF00000000}"/>
  </bookViews>
  <sheets>
    <sheet name="Operating Assumptions" sheetId="1" r:id="rId1"/>
    <sheet name="Sources &amp; Uses" sheetId="2" r:id="rId2"/>
    <sheet name="Construction Draw Schedule" sheetId="3" r:id="rId3"/>
    <sheet name="Interest Reserve" sheetId="4" r:id="rId4"/>
    <sheet name="Debt Service" sheetId="5" r:id="rId5"/>
    <sheet name="Credit Memo" sheetId="6" r:id="rId6"/>
    <sheet name="Refi Analysis" sheetId="7" r:id="rId7"/>
    <sheet name="Returns" sheetId="8" r:id="rId8"/>
    <sheet name="Investor Summary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7" l="1"/>
  <c r="B7" i="7"/>
  <c r="B5" i="7"/>
  <c r="B6" i="5"/>
  <c r="B5" i="5"/>
  <c r="B5" i="4"/>
  <c r="B8" i="3"/>
  <c r="B7" i="3"/>
  <c r="B6" i="3"/>
  <c r="B5" i="3"/>
  <c r="B4" i="3"/>
  <c r="C55" i="2"/>
  <c r="B11" i="6" s="1"/>
  <c r="C52" i="2"/>
  <c r="B9" i="3" s="1"/>
  <c r="C46" i="2"/>
  <c r="C39" i="2"/>
  <c r="C30" i="2"/>
  <c r="C24" i="2"/>
  <c r="C15" i="2"/>
  <c r="B24" i="1"/>
  <c r="B4" i="5" s="1"/>
  <c r="B23" i="1"/>
  <c r="B21" i="1"/>
  <c r="B14" i="6" s="1"/>
  <c r="B20" i="1"/>
  <c r="B19" i="1"/>
  <c r="B9" i="1"/>
  <c r="B10" i="1" s="1"/>
  <c r="B25" i="1" s="1"/>
  <c r="B19" i="8" l="1"/>
  <c r="B13" i="6"/>
  <c r="C5" i="8"/>
  <c r="B5" i="2"/>
  <c r="B6" i="8"/>
  <c r="B11" i="7"/>
  <c r="B4" i="9"/>
  <c r="B7" i="5"/>
  <c r="B15" i="6"/>
  <c r="B4" i="7"/>
  <c r="B6" i="7" s="1"/>
  <c r="B8" i="7" s="1"/>
  <c r="B4" i="2"/>
  <c r="B10" i="3"/>
  <c r="B9" i="7"/>
  <c r="B4" i="4"/>
  <c r="B8" i="4" s="1"/>
  <c r="B12" i="6"/>
  <c r="B19" i="7"/>
  <c r="B20" i="7" s="1"/>
  <c r="B8" i="5"/>
  <c r="B9" i="8" l="1"/>
  <c r="B10" i="8" s="1"/>
  <c r="B11" i="8" s="1"/>
  <c r="B8" i="8"/>
  <c r="B9" i="5"/>
  <c r="B16" i="6" s="1"/>
  <c r="B6" i="2"/>
  <c r="B14" i="9"/>
  <c r="B16" i="7"/>
  <c r="B17" i="7" s="1"/>
  <c r="B13" i="5"/>
  <c r="B14" i="5" s="1"/>
  <c r="B15" i="5" s="1"/>
  <c r="B10" i="7"/>
  <c r="G5" i="8" l="1"/>
  <c r="F5" i="8"/>
  <c r="E5" i="8"/>
  <c r="B7" i="9"/>
  <c r="B12" i="7"/>
  <c r="B6" i="9" s="1"/>
  <c r="B5" i="9"/>
  <c r="D5" i="8"/>
  <c r="B12" i="8"/>
  <c r="B13" i="8" l="1"/>
  <c r="B18" i="8" s="1"/>
  <c r="C6" i="8" s="1"/>
  <c r="B14" i="8"/>
  <c r="B15" i="8"/>
  <c r="B17" i="8" l="1"/>
  <c r="B16" i="8"/>
  <c r="C9" i="8"/>
  <c r="C10" i="8" s="1"/>
  <c r="C8" i="8"/>
  <c r="C11" i="8" l="1"/>
  <c r="C12" i="8" l="1"/>
  <c r="C13" i="8" l="1"/>
  <c r="C14" i="8"/>
  <c r="C15" i="8"/>
  <c r="C17" i="8" l="1"/>
  <c r="C16" i="8"/>
  <c r="C20" i="8"/>
  <c r="C18" i="8"/>
  <c r="D6" i="8" s="1"/>
  <c r="C19" i="8"/>
  <c r="D7" i="8" l="1"/>
  <c r="D8" i="8" s="1"/>
  <c r="D9" i="8"/>
  <c r="C14" i="9"/>
  <c r="D10" i="8" l="1"/>
  <c r="D11" i="8" l="1"/>
  <c r="D12" i="8" l="1"/>
  <c r="D14" i="8" l="1"/>
  <c r="D13" i="8"/>
  <c r="D15" i="8"/>
  <c r="D18" i="8" l="1"/>
  <c r="E6" i="8" s="1"/>
  <c r="D16" i="8"/>
  <c r="D19" i="8" s="1"/>
  <c r="D17" i="8"/>
  <c r="D20" i="8"/>
  <c r="D14" i="9" l="1"/>
  <c r="E8" i="8"/>
  <c r="E9" i="8"/>
  <c r="E10" i="8" s="1"/>
  <c r="E11" i="8" l="1"/>
  <c r="E12" i="8"/>
  <c r="E14" i="8" l="1"/>
  <c r="E13" i="8"/>
  <c r="E15" i="8"/>
  <c r="E18" i="8" l="1"/>
  <c r="F6" i="8" s="1"/>
  <c r="E16" i="8"/>
  <c r="E19" i="8" s="1"/>
  <c r="E17" i="8"/>
  <c r="E20" i="8"/>
  <c r="E14" i="9" l="1"/>
  <c r="F9" i="8"/>
  <c r="F10" i="8" s="1"/>
  <c r="F8" i="8"/>
  <c r="F12" i="8" l="1"/>
  <c r="F11" i="8"/>
  <c r="F15" i="8" s="1"/>
  <c r="F16" i="8" l="1"/>
  <c r="F17" i="8"/>
  <c r="F14" i="8"/>
  <c r="F20" i="8" s="1"/>
  <c r="F13" i="8"/>
  <c r="F18" i="8" l="1"/>
  <c r="G6" i="8" s="1"/>
  <c r="F19" i="8"/>
  <c r="F14" i="9" l="1"/>
  <c r="G9" i="8"/>
  <c r="G10" i="8" s="1"/>
  <c r="G8" i="8"/>
  <c r="G11" i="8" l="1"/>
  <c r="G15" i="8" s="1"/>
  <c r="G12" i="8"/>
  <c r="G17" i="8" l="1"/>
  <c r="G16" i="8"/>
  <c r="G13" i="8"/>
  <c r="G14" i="8"/>
  <c r="G20" i="8" s="1"/>
  <c r="B24" i="8" s="1"/>
  <c r="G19" i="8" l="1"/>
  <c r="G18" i="8"/>
  <c r="G14" i="9" l="1"/>
  <c r="B23" i="8"/>
  <c r="B9" i="9" s="1"/>
  <c r="B22" i="8"/>
  <c r="B8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14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Retail wash count only; no self-service revenue assumed.</t>
        </r>
      </text>
    </comment>
    <comment ref="B16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Stabilized member count assumption.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C55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Base case total project cost aligned to deck / teaser / returns model.</t>
        </r>
      </text>
    </comment>
  </commentList>
</comments>
</file>

<file path=xl/sharedStrings.xml><?xml version="1.0" encoding="utf-8"?>
<sst xmlns="http://schemas.openxmlformats.org/spreadsheetml/2006/main" count="261" uniqueCount="179">
  <si>
    <t>Operating Assumptions &amp; Controls</t>
  </si>
  <si>
    <t>Project Controls</t>
  </si>
  <si>
    <t>Tunnel Length (ft)</t>
  </si>
  <si>
    <t>Input</t>
  </si>
  <si>
    <t>Vacuum Stalls</t>
  </si>
  <si>
    <t>Self-Serve Bays</t>
  </si>
  <si>
    <t>Base Case Total Project Cost</t>
  </si>
  <si>
    <t>Senior Debt %</t>
  </si>
  <si>
    <t>Senior Debt</t>
  </si>
  <si>
    <t>Formula</t>
  </si>
  <si>
    <t>Equity Contribution</t>
  </si>
  <si>
    <t>Operating Revenue Build</t>
  </si>
  <si>
    <t>Retail Cars per Day</t>
  </si>
  <si>
    <t>Average Retail Ticket ($)</t>
  </si>
  <si>
    <t>Membership Count</t>
  </si>
  <si>
    <t>Average Monthly Member Price ($)</t>
  </si>
  <si>
    <t>Other Revenue ($)</t>
  </si>
  <si>
    <t>Annual Retail Revenue</t>
  </si>
  <si>
    <t>Annual Membership Revenue</t>
  </si>
  <si>
    <t>Total Annual Revenue</t>
  </si>
  <si>
    <t>EBITDA Margin</t>
  </si>
  <si>
    <t>EBITDA</t>
  </si>
  <si>
    <t>Senior Debt (link cell)</t>
  </si>
  <si>
    <t>linked</t>
  </si>
  <si>
    <t>Equity Contribution (link cell)</t>
  </si>
  <si>
    <t>Financing &amp; Valuation Assumptions</t>
  </si>
  <si>
    <t>Interest Rate</t>
  </si>
  <si>
    <t>Amortization (Years)</t>
  </si>
  <si>
    <t>Refi LTV</t>
  </si>
  <si>
    <t>Refi Multiple</t>
  </si>
  <si>
    <t>Exit Multiple</t>
  </si>
  <si>
    <t>Preferred Return</t>
  </si>
  <si>
    <t>Sources &amp; Uses (Base Case)</t>
  </si>
  <si>
    <t>Sources</t>
  </si>
  <si>
    <t>Senior Debt (70%)</t>
  </si>
  <si>
    <t>Linked from controls</t>
  </si>
  <si>
    <t>Total Sources</t>
  </si>
  <si>
    <t>Detailed Uses</t>
  </si>
  <si>
    <t>Category</t>
  </si>
  <si>
    <t>Line Item</t>
  </si>
  <si>
    <t>Estimated Cost ($)</t>
  </si>
  <si>
    <t>LAND &amp; DUE DILIGENCE</t>
  </si>
  <si>
    <t>Land Acquisition (1.5 acres)</t>
  </si>
  <si>
    <t>Survey, Title, Legal, Closing</t>
  </si>
  <si>
    <t>Environmental (Phase I)</t>
  </si>
  <si>
    <t>Geotechnical / Soil Report</t>
  </si>
  <si>
    <t>Site Due Diligence Contingency</t>
  </si>
  <si>
    <t>SUBTOTAL – LAND &amp; DD</t>
  </si>
  <si>
    <t>CONSTRUCTION – SITE WORK</t>
  </si>
  <si>
    <t>Clearing, Grading, Earthwork</t>
  </si>
  <si>
    <t>Underground Utilities (Water, Sewer, Elec)</t>
  </si>
  <si>
    <t>Stormwater &amp; Detention</t>
  </si>
  <si>
    <t>Concrete Paving (Heavy Duty)</t>
  </si>
  <si>
    <t>Curbs, Sidewalks, ADA</t>
  </si>
  <si>
    <t>Landscaping &amp; Irrigation</t>
  </si>
  <si>
    <t>Vacuum Plaza Foundations / Electrical</t>
  </si>
  <si>
    <t>SUBTOTAL – SITE WORK</t>
  </si>
  <si>
    <t>CONSTRUCTION – VERTICAL</t>
  </si>
  <si>
    <t>Tunnel Building Structure (120 ft)</t>
  </si>
  <si>
    <t>Equipment / Mechanical Room</t>
  </si>
  <si>
    <t>Vacuum Canopy Structure (18 stalls)</t>
  </si>
  <si>
    <t>Office / Back Room / Façade</t>
  </si>
  <si>
    <t>SUBTOTAL – VERTICAL CONSTRUCTION</t>
  </si>
  <si>
    <t>EQUIPMENT – TUNNEL &amp; VACS</t>
  </si>
  <si>
    <t>Conveyor &amp; Tunnel Equipment</t>
  </si>
  <si>
    <t>Prep Arches, Mitters &amp; Brushes</t>
  </si>
  <si>
    <t>Dryer System (High Performance)</t>
  </si>
  <si>
    <t>Water Reclaim &amp; RO System</t>
  </si>
  <si>
    <t>Chemical Delivery Systems</t>
  </si>
  <si>
    <t>POS / Pay Stations</t>
  </si>
  <si>
    <t>Vacuum Motors / Controls / Manifolds</t>
  </si>
  <si>
    <t>SUBTOTAL – TUNNEL &amp; VAC EQUIPMENT</t>
  </si>
  <si>
    <t>SOFT COSTS</t>
  </si>
  <si>
    <t>Architectural &amp; Engineering</t>
  </si>
  <si>
    <t>Permits, Impact &amp; Tap Fees</t>
  </si>
  <si>
    <t>Traffic Study &amp; Municipal Fees</t>
  </si>
  <si>
    <t>Insurance During Construction</t>
  </si>
  <si>
    <t>Legal, Accounting &amp; Consulting</t>
  </si>
  <si>
    <t>SUBTOTAL – SOFT COSTS</t>
  </si>
  <si>
    <t>CONTINGENCY &amp; WORKING CAPITAL</t>
  </si>
  <si>
    <t>Construction Contingency</t>
  </si>
  <si>
    <t>Opening Supplies &amp; Chemicals</t>
  </si>
  <si>
    <t>Utility Deposits &amp; Prepaids</t>
  </si>
  <si>
    <t>Operating Reserve (6 Months)</t>
  </si>
  <si>
    <t>SUBTOTAL – CONTINGENCY &amp; WC</t>
  </si>
  <si>
    <t>TOTAL PROJECT COST</t>
  </si>
  <si>
    <t>TOTAL USES OF FUNDS</t>
  </si>
  <si>
    <t>Construction Draw Schedule</t>
  </si>
  <si>
    <t>Phase</t>
  </si>
  <si>
    <t>Cost ($)</t>
  </si>
  <si>
    <t>Timing</t>
  </si>
  <si>
    <t>Land Acquisition &amp; Due Diligence</t>
  </si>
  <si>
    <t>Month 0</t>
  </si>
  <si>
    <t>Site Work</t>
  </si>
  <si>
    <t>Months 1–3</t>
  </si>
  <si>
    <t>Vertical Construction</t>
  </si>
  <si>
    <t>Months 3–7</t>
  </si>
  <si>
    <t>Equipment Install (Tunnel + 18 Vacs)</t>
  </si>
  <si>
    <t>Months 6–9</t>
  </si>
  <si>
    <t>Soft Costs</t>
  </si>
  <si>
    <t>Throughout</t>
  </si>
  <si>
    <t>Contingency / Working Capital</t>
  </si>
  <si>
    <t>As Needed</t>
  </si>
  <si>
    <t>Total Uses</t>
  </si>
  <si>
    <t/>
  </si>
  <si>
    <t>Interest Reserve</t>
  </si>
  <si>
    <t>Reserve Assumptions</t>
  </si>
  <si>
    <t>Loan Amount</t>
  </si>
  <si>
    <t>Linked</t>
  </si>
  <si>
    <t>Construction / Lease-up Period (Months)</t>
  </si>
  <si>
    <t>Average Drawn % of Loan</t>
  </si>
  <si>
    <t>Note</t>
  </si>
  <si>
    <t>Reserve reflects average drawn balance during 10-month build.</t>
  </si>
  <si>
    <t>Debt Service</t>
  </si>
  <si>
    <t>Base Loan Metrics</t>
  </si>
  <si>
    <t>Annual Debt Service</t>
  </si>
  <si>
    <t>Debt Service Coverage Ratio</t>
  </si>
  <si>
    <t>Refi Debt Metrics</t>
  </si>
  <si>
    <t>New Loan at Refi</t>
  </si>
  <si>
    <t>Annual Debt Service (Refi Loan)</t>
  </si>
  <si>
    <t>Distributable Cash Flow Post Refi</t>
  </si>
  <si>
    <t>Credit Memo Summary</t>
  </si>
  <si>
    <t>Uses of funds consist of land acquisition and due diligence, full site development, vertical construction of a premium 120-foot express tunnel, installation of tunnel and vacuum equipment for 18 vacuum stalls, standard soft costs including architectural, engineering, permitting, and professional fees, and an appropriate contingency and operating reserve.</t>
  </si>
  <si>
    <t>Sources of funds include a senior secured construction loan representing approximately 70% of total project cost, with the remaining 30% funded by sponsor / investor equity. Equity is assumed to be contributed first, with loan proceeds drawn monthly on a reimbursable basis in accordance with the construction draw schedule.</t>
  </si>
  <si>
    <t>The underwriting assumes no self-service bays and a membership-driven express wash model. Stabilized operating assumptions target approximately $3.05 million of annual revenue and roughly 65% EBITDA margin.</t>
  </si>
  <si>
    <t>Refinancing is underwritten at a 6.0x EBITDA multiple and 70% loan-to-value. Resulting cash-out proceeds are assumed to be distributed first to investors, de-risking capital while preserving long-term upside.</t>
  </si>
  <si>
    <t>Key Metrics</t>
  </si>
  <si>
    <t>Total Project Cost</t>
  </si>
  <si>
    <t>Equity</t>
  </si>
  <si>
    <t>Revenue</t>
  </si>
  <si>
    <t>Base DSCR</t>
  </si>
  <si>
    <t>Refinance Analysis</t>
  </si>
  <si>
    <t>Valuation &amp; Proceeds</t>
  </si>
  <si>
    <t>Implied Value</t>
  </si>
  <si>
    <t>New Loan</t>
  </si>
  <si>
    <t>Existing Debt (Conservative Takeout)</t>
  </si>
  <si>
    <t>Cash Out at Refi</t>
  </si>
  <si>
    <t>Investor Equity</t>
  </si>
  <si>
    <t>% Investor Capital Returned</t>
  </si>
  <si>
    <t>Post-Refi Cash Flow &amp; Exit</t>
  </si>
  <si>
    <t>Exit Value</t>
  </si>
  <si>
    <t>Net Sale Proceeds</t>
  </si>
  <si>
    <t>Investor / Sponsor Waterfall Returns</t>
  </si>
  <si>
    <t>Year 0</t>
  </si>
  <si>
    <t>Year 1</t>
  </si>
  <si>
    <t>Year 2 (Refi)</t>
  </si>
  <si>
    <t>Year 3</t>
  </si>
  <si>
    <t>Year 4</t>
  </si>
  <si>
    <t>Year 5 (Exit)</t>
  </si>
  <si>
    <t>Year Fraction</t>
  </si>
  <si>
    <t>Distribution Pool</t>
  </si>
  <si>
    <t>Beginning Unreturned Capital</t>
  </si>
  <si>
    <t>Refi Capital Return</t>
  </si>
  <si>
    <t>Capital After Refi</t>
  </si>
  <si>
    <t>Pref Due</t>
  </si>
  <si>
    <t>Pref Paid</t>
  </si>
  <si>
    <t>Cash After Pref</t>
  </si>
  <si>
    <t>Pre-Flip Cash Used</t>
  </si>
  <si>
    <t>Investor Pre-Flip Share</t>
  </si>
  <si>
    <t>Sponsor Pre-Flip Share</t>
  </si>
  <si>
    <t>Post-Flip Cash</t>
  </si>
  <si>
    <t>Investor Post-Flip Share</t>
  </si>
  <si>
    <t>Sponsor Post-Flip Share</t>
  </si>
  <si>
    <t>Ending Unreturned Capital</t>
  </si>
  <si>
    <t>Investor Total Cash Flow</t>
  </si>
  <si>
    <t>Sponsor Total Cash Flow</t>
  </si>
  <si>
    <t>Investor IRR</t>
  </si>
  <si>
    <t>Investor Equity Multiple</t>
  </si>
  <si>
    <t>Sponsor Distributions</t>
  </si>
  <si>
    <t>Investor Summary</t>
  </si>
  <si>
    <t>Key Investor Outputs</t>
  </si>
  <si>
    <t>Equity Invested</t>
  </si>
  <si>
    <t>Refi Cash Returned</t>
  </si>
  <si>
    <t>% Capital Returned at Refi</t>
  </si>
  <si>
    <t>Annual Cash Flow Post Refi</t>
  </si>
  <si>
    <t>5-Year Investor IRR</t>
  </si>
  <si>
    <t>Equity Multiple</t>
  </si>
  <si>
    <t>Year-by-Year Investor Cash Flow</t>
  </si>
  <si>
    <t>Investor 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</si>
</sst>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;[Red]\(#,##0\);\-"/>
    <numFmt numFmtId="165" formatCode="\$#,##0;[Red]\(\$#,##0\);\-"/>
    <numFmt numFmtId="166" formatCode="0.0%;[Red]\(0.0%\);\-"/>
    <numFmt numFmtId="167" formatCode="0.0\x"/>
    <numFmt numFmtId="168" formatCode="0.00\x"/>
    <numFmt numFmtId="169" formatCode="#,##0.0;[Red]\(#,##0.0\);\-"/>
  </numFmts>
  <fonts count="8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1"/>
      <color rgb="FFFFFFFF"/>
      <name val="Calibri"/>
    </font>
    <font>
      <sz val="10"/>
      <color rgb="FF000000"/>
      <name val="Calibri"/>
    </font>
    <font>
      <sz val="10"/>
      <color rgb="FF0000FF"/>
      <name val="Calibri"/>
    </font>
    <font>
      <i/>
      <sz val="10"/>
      <color rgb="FF666666"/>
      <name val="Calibri"/>
    </font>
    <font>
      <sz val="10"/>
      <color rgb="FF008000"/>
      <name val="Calibri"/>
    </font>
    <font>
      <b/>
      <sz val="10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1F33"/>
      </patternFill>
    </fill>
    <fill>
      <patternFill patternType="solid">
        <fgColor rgb="FF163A5F"/>
      </patternFill>
    </fill>
    <fill>
      <patternFill patternType="solid">
        <fgColor rgb="FFFFF2CC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 style="medium">
        <color rgb="FF163A5F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3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164" fontId="4" fillId="4" borderId="0" xfId="0" applyNumberFormat="1" applyFont="1" applyFill="1" applyAlignment="1">
      <alignment horizontal="right" vertical="center"/>
    </xf>
    <xf numFmtId="0" fontId="5" fillId="0" borderId="0" xfId="0" applyFont="1" applyAlignment="1">
      <alignment horizontal="left" vertical="center"/>
    </xf>
    <xf numFmtId="165" fontId="4" fillId="4" borderId="0" xfId="0" applyNumberFormat="1" applyFont="1" applyFill="1" applyAlignment="1">
      <alignment horizontal="right" vertical="center"/>
    </xf>
    <xf numFmtId="166" fontId="4" fillId="4" borderId="0" xfId="0" applyNumberFormat="1" applyFont="1" applyFill="1" applyAlignment="1">
      <alignment horizontal="right" vertical="center"/>
    </xf>
    <xf numFmtId="165" fontId="3" fillId="0" borderId="0" xfId="0" applyNumberFormat="1" applyFont="1" applyAlignment="1">
      <alignment horizontal="right" vertical="center"/>
    </xf>
    <xf numFmtId="165" fontId="6" fillId="0" borderId="0" xfId="0" applyNumberFormat="1" applyFont="1" applyAlignment="1">
      <alignment horizontal="right" vertical="center"/>
    </xf>
    <xf numFmtId="167" fontId="4" fillId="4" borderId="0" xfId="0" applyNumberFormat="1" applyFont="1" applyFill="1" applyAlignment="1">
      <alignment horizontal="right" vertical="center"/>
    </xf>
    <xf numFmtId="0" fontId="7" fillId="0" borderId="1" xfId="0" applyFont="1" applyBorder="1" applyAlignment="1">
      <alignment horizontal="left" vertical="center"/>
    </xf>
    <xf numFmtId="165" fontId="7" fillId="0" borderId="1" xfId="0" applyNumberFormat="1" applyFont="1" applyBorder="1" applyAlignment="1">
      <alignment horizontal="right" vertical="center"/>
    </xf>
    <xf numFmtId="0" fontId="2" fillId="3" borderId="0" xfId="0" applyFont="1" applyFill="1" applyAlignment="1">
      <alignment horizontal="right" vertical="center"/>
    </xf>
    <xf numFmtId="0" fontId="3" fillId="0" borderId="0" xfId="0" applyFont="1" applyAlignment="1">
      <alignment horizontal="left" vertical="center" wrapText="1"/>
    </xf>
    <xf numFmtId="165" fontId="4" fillId="0" borderId="0" xfId="0" applyNumberFormat="1" applyFont="1" applyAlignment="1">
      <alignment horizontal="right" vertical="center"/>
    </xf>
    <xf numFmtId="0" fontId="7" fillId="0" borderId="1" xfId="0" applyFont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/>
    </xf>
    <xf numFmtId="165" fontId="7" fillId="5" borderId="1" xfId="0" applyNumberFormat="1" applyFont="1" applyFill="1" applyBorder="1" applyAlignment="1">
      <alignment horizontal="right" vertical="center"/>
    </xf>
    <xf numFmtId="166" fontId="6" fillId="0" borderId="0" xfId="0" applyNumberFormat="1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8" fontId="3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left" vertical="center" wrapText="1"/>
    </xf>
    <xf numFmtId="168" fontId="6" fillId="0" borderId="0" xfId="0" applyNumberFormat="1" applyFont="1" applyAlignment="1">
      <alignment horizontal="right" vertical="center"/>
    </xf>
    <xf numFmtId="167" fontId="6" fillId="0" borderId="0" xfId="0" applyNumberFormat="1" applyFont="1" applyAlignment="1">
      <alignment horizontal="right" vertical="center"/>
    </xf>
    <xf numFmtId="166" fontId="3" fillId="0" borderId="0" xfId="0" applyNumberFormat="1" applyFont="1" applyAlignment="1">
      <alignment horizontal="right" vertical="center"/>
    </xf>
    <xf numFmtId="169" fontId="4" fillId="4" borderId="0" xfId="0" applyNumberFormat="1" applyFont="1" applyFill="1" applyAlignment="1">
      <alignment horizontal="right" vertical="center"/>
    </xf>
    <xf numFmtId="165" fontId="3" fillId="0" borderId="1" xfId="0" applyNumberFormat="1" applyFont="1" applyBorder="1" applyAlignment="1">
      <alignment horizontal="right" vertical="center"/>
    </xf>
    <xf numFmtId="166" fontId="3" fillId="0" borderId="1" xfId="0" applyNumberFormat="1" applyFont="1" applyBorder="1" applyAlignment="1">
      <alignment horizontal="right" vertical="center"/>
    </xf>
    <xf numFmtId="167" fontId="3" fillId="0" borderId="1" xfId="0" applyNumberFormat="1" applyFont="1" applyBorder="1" applyAlignment="1">
      <alignment horizontal="right" vertical="center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2" fillId="3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190500</xdr:colOff>
      <xdr:row>49</xdr:row>
      <xdr:rowOff>180975</xdr:rowOff>
    </xdr:to>
    <xdr:sp macro="" textlink="">
      <xdr:nvSpPr>
        <xdr:cNvPr id="1027" name="Text Box 3" hidden="1">
          <a:extLst>
            <a:ext uri="{FF2B5EF4-FFF2-40B4-BE49-F238E27FC236}">
              <a16:creationId xmlns:a16="http://schemas.microsoft.com/office/drawing/2014/main" id="{92D21CA1-9B1A-F826-DA3D-479CC89C5BB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390525</xdr:colOff>
      <xdr:row>49</xdr:row>
      <xdr:rowOff>180975</xdr:rowOff>
    </xdr:to>
    <xdr:sp macro="" textlink="">
      <xdr:nvSpPr>
        <xdr:cNvPr id="2050" name="Text Box 2" hidden="1">
          <a:extLst>
            <a:ext uri="{FF2B5EF4-FFF2-40B4-BE49-F238E27FC236}">
              <a16:creationId xmlns:a16="http://schemas.microsoft.com/office/drawing/2014/main" id="{576EC1F2-E902-5115-74CE-8D120D614A6E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"/>
  <sheetViews>
    <sheetView showGridLines="0" topLeftCell="A12" workbookViewId="0">
      <selection sqref="A1:C1"/>
    </sheetView>
  </sheetViews>
  <sheetFormatPr defaultRowHeight="15" x14ac:dyDescent="0.25"/>
  <cols>
    <col min="1" max="1" width="36" customWidth="1"/>
    <col min="2" max="2" width="18" customWidth="1"/>
    <col min="3" max="3" width="22" customWidth="1"/>
  </cols>
  <sheetData>
    <row r="1" spans="1:3" ht="15.75" x14ac:dyDescent="0.25">
      <c r="A1" s="29" t="s">
        <v>0</v>
      </c>
      <c r="B1" s="30"/>
      <c r="C1" s="30"/>
    </row>
    <row r="3" spans="1:3" x14ac:dyDescent="0.25">
      <c r="A3" s="31" t="s">
        <v>1</v>
      </c>
      <c r="B3" s="30"/>
      <c r="C3" s="30"/>
    </row>
    <row r="4" spans="1:3" x14ac:dyDescent="0.25">
      <c r="A4" s="2" t="s">
        <v>2</v>
      </c>
      <c r="B4" s="3">
        <v>120</v>
      </c>
      <c r="C4" s="4" t="s">
        <v>3</v>
      </c>
    </row>
    <row r="5" spans="1:3" x14ac:dyDescent="0.25">
      <c r="A5" s="2" t="s">
        <v>4</v>
      </c>
      <c r="B5" s="3">
        <v>18</v>
      </c>
      <c r="C5" s="4" t="s">
        <v>3</v>
      </c>
    </row>
    <row r="6" spans="1:3" x14ac:dyDescent="0.25">
      <c r="A6" s="2" t="s">
        <v>5</v>
      </c>
      <c r="B6" s="3">
        <v>0</v>
      </c>
      <c r="C6" s="4" t="s">
        <v>3</v>
      </c>
    </row>
    <row r="7" spans="1:3" x14ac:dyDescent="0.25">
      <c r="A7" s="2" t="s">
        <v>6</v>
      </c>
      <c r="B7" s="5">
        <v>8750000</v>
      </c>
      <c r="C7" s="4" t="s">
        <v>3</v>
      </c>
    </row>
    <row r="8" spans="1:3" x14ac:dyDescent="0.25">
      <c r="A8" s="2" t="s">
        <v>7</v>
      </c>
      <c r="B8" s="6">
        <v>0.7</v>
      </c>
      <c r="C8" s="4" t="s">
        <v>3</v>
      </c>
    </row>
    <row r="9" spans="1:3" x14ac:dyDescent="0.25">
      <c r="A9" s="2" t="s">
        <v>8</v>
      </c>
      <c r="B9" s="7">
        <f>B7*B8</f>
        <v>6125000</v>
      </c>
      <c r="C9" s="4" t="s">
        <v>9</v>
      </c>
    </row>
    <row r="10" spans="1:3" x14ac:dyDescent="0.25">
      <c r="A10" s="2" t="s">
        <v>10</v>
      </c>
      <c r="B10" s="7">
        <f>B7-B9</f>
        <v>2625000</v>
      </c>
      <c r="C10" s="4" t="s">
        <v>9</v>
      </c>
    </row>
    <row r="13" spans="1:3" x14ac:dyDescent="0.25">
      <c r="A13" s="31" t="s">
        <v>11</v>
      </c>
      <c r="B13" s="30"/>
      <c r="C13" s="30"/>
    </row>
    <row r="14" spans="1:3" x14ac:dyDescent="0.25">
      <c r="A14" s="2" t="s">
        <v>12</v>
      </c>
      <c r="B14" s="3">
        <v>260</v>
      </c>
      <c r="C14" s="4" t="s">
        <v>3</v>
      </c>
    </row>
    <row r="15" spans="1:3" x14ac:dyDescent="0.25">
      <c r="A15" s="2" t="s">
        <v>13</v>
      </c>
      <c r="B15" s="5">
        <v>20</v>
      </c>
      <c r="C15" s="4" t="s">
        <v>3</v>
      </c>
    </row>
    <row r="16" spans="1:3" x14ac:dyDescent="0.25">
      <c r="A16" s="2" t="s">
        <v>14</v>
      </c>
      <c r="B16" s="3">
        <v>3100</v>
      </c>
      <c r="C16" s="4" t="s">
        <v>3</v>
      </c>
    </row>
    <row r="17" spans="1:3" x14ac:dyDescent="0.25">
      <c r="A17" s="2" t="s">
        <v>15</v>
      </c>
      <c r="B17" s="5">
        <v>31</v>
      </c>
      <c r="C17" s="4" t="s">
        <v>3</v>
      </c>
    </row>
    <row r="18" spans="1:3" x14ac:dyDescent="0.25">
      <c r="A18" s="2" t="s">
        <v>16</v>
      </c>
      <c r="B18" s="5">
        <v>0</v>
      </c>
      <c r="C18" s="4" t="s">
        <v>3</v>
      </c>
    </row>
    <row r="19" spans="1:3" x14ac:dyDescent="0.25">
      <c r="A19" s="2" t="s">
        <v>17</v>
      </c>
      <c r="B19" s="7">
        <f>B14*B15*365</f>
        <v>1898000</v>
      </c>
      <c r="C19" s="4" t="s">
        <v>9</v>
      </c>
    </row>
    <row r="20" spans="1:3" x14ac:dyDescent="0.25">
      <c r="A20" s="2" t="s">
        <v>18</v>
      </c>
      <c r="B20" s="7">
        <f>B16*B17*12</f>
        <v>1153200</v>
      </c>
      <c r="C20" s="4" t="s">
        <v>9</v>
      </c>
    </row>
    <row r="21" spans="1:3" x14ac:dyDescent="0.25">
      <c r="A21" s="2" t="s">
        <v>19</v>
      </c>
      <c r="B21" s="7">
        <f>SUM(B19:B20)</f>
        <v>3051200</v>
      </c>
      <c r="C21" s="4" t="s">
        <v>9</v>
      </c>
    </row>
    <row r="22" spans="1:3" x14ac:dyDescent="0.25">
      <c r="A22" s="2" t="s">
        <v>20</v>
      </c>
      <c r="B22" s="6">
        <v>0.65</v>
      </c>
      <c r="C22" s="4" t="s">
        <v>3</v>
      </c>
    </row>
    <row r="23" spans="1:3" x14ac:dyDescent="0.25">
      <c r="A23" s="2" t="s">
        <v>21</v>
      </c>
      <c r="B23" s="7">
        <f>B21*B22</f>
        <v>1983280</v>
      </c>
      <c r="C23" s="4" t="s">
        <v>9</v>
      </c>
    </row>
    <row r="24" spans="1:3" x14ac:dyDescent="0.25">
      <c r="A24" s="4" t="s">
        <v>22</v>
      </c>
      <c r="B24" s="8">
        <f>B9</f>
        <v>6125000</v>
      </c>
      <c r="C24" s="4" t="s">
        <v>23</v>
      </c>
    </row>
    <row r="25" spans="1:3" x14ac:dyDescent="0.25">
      <c r="A25" s="4" t="s">
        <v>24</v>
      </c>
      <c r="B25" s="8">
        <f>B10</f>
        <v>2625000</v>
      </c>
      <c r="C25" s="4" t="s">
        <v>23</v>
      </c>
    </row>
    <row r="27" spans="1:3" x14ac:dyDescent="0.25">
      <c r="A27" s="31" t="s">
        <v>25</v>
      </c>
      <c r="B27" s="30"/>
      <c r="C27" s="30"/>
    </row>
    <row r="28" spans="1:3" x14ac:dyDescent="0.25">
      <c r="A28" s="2" t="s">
        <v>26</v>
      </c>
      <c r="B28" s="6">
        <v>7.0000000000000007E-2</v>
      </c>
      <c r="C28" s="4" t="s">
        <v>3</v>
      </c>
    </row>
    <row r="29" spans="1:3" x14ac:dyDescent="0.25">
      <c r="A29" s="2" t="s">
        <v>27</v>
      </c>
      <c r="B29" s="3">
        <v>25</v>
      </c>
      <c r="C29" s="4" t="s">
        <v>3</v>
      </c>
    </row>
    <row r="30" spans="1:3" x14ac:dyDescent="0.25">
      <c r="A30" s="2" t="s">
        <v>28</v>
      </c>
      <c r="B30" s="6">
        <v>0.7</v>
      </c>
      <c r="C30" s="4" t="s">
        <v>3</v>
      </c>
    </row>
    <row r="31" spans="1:3" x14ac:dyDescent="0.25">
      <c r="A31" s="2" t="s">
        <v>29</v>
      </c>
      <c r="B31" s="9">
        <v>6</v>
      </c>
      <c r="C31" s="4" t="s">
        <v>3</v>
      </c>
    </row>
    <row r="32" spans="1:3" x14ac:dyDescent="0.25">
      <c r="A32" s="2" t="s">
        <v>30</v>
      </c>
      <c r="B32" s="9">
        <v>6.5</v>
      </c>
      <c r="C32" s="4" t="s">
        <v>3</v>
      </c>
    </row>
    <row r="33" spans="1:3" x14ac:dyDescent="0.25">
      <c r="A33" s="2" t="s">
        <v>31</v>
      </c>
      <c r="B33" s="6">
        <v>0.08</v>
      </c>
      <c r="C33" s="4" t="s">
        <v>3</v>
      </c>
    </row>
  </sheetData>
  <mergeCells count="4">
    <mergeCell ref="A1:C1"/>
    <mergeCell ref="A27:C27"/>
    <mergeCell ref="A13:C13"/>
    <mergeCell ref="A3:C3"/>
  </mergeCell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5"/>
  <sheetViews>
    <sheetView showGridLines="0" tabSelected="1" topLeftCell="A12" workbookViewId="0">
      <selection sqref="A1:F1"/>
    </sheetView>
  </sheetViews>
  <sheetFormatPr defaultRowHeight="15" x14ac:dyDescent="0.25"/>
  <cols>
    <col min="1" max="1" width="28" customWidth="1"/>
    <col min="2" max="2" width="48" customWidth="1"/>
    <col min="3" max="3" width="18" customWidth="1"/>
    <col min="4" max="4" width="3" customWidth="1"/>
    <col min="5" max="5" width="22" customWidth="1"/>
    <col min="6" max="6" width="18" customWidth="1"/>
  </cols>
  <sheetData>
    <row r="1" spans="1:6" ht="15.75" x14ac:dyDescent="0.25">
      <c r="A1" s="29" t="s">
        <v>32</v>
      </c>
      <c r="B1" s="30"/>
      <c r="C1" s="30"/>
      <c r="D1" s="30"/>
      <c r="E1" s="30"/>
      <c r="F1" s="30"/>
    </row>
    <row r="3" spans="1:6" x14ac:dyDescent="0.25">
      <c r="A3" s="31" t="s">
        <v>33</v>
      </c>
      <c r="B3" s="30"/>
    </row>
    <row r="4" spans="1:6" x14ac:dyDescent="0.25">
      <c r="A4" s="2" t="s">
        <v>34</v>
      </c>
      <c r="B4" s="8">
        <f>'Operating Assumptions'!B24</f>
        <v>6125000</v>
      </c>
      <c r="C4" s="4" t="s">
        <v>35</v>
      </c>
    </row>
    <row r="5" spans="1:6" x14ac:dyDescent="0.25">
      <c r="A5" s="2" t="s">
        <v>10</v>
      </c>
      <c r="B5" s="8">
        <f>'Operating Assumptions'!B25</f>
        <v>2625000</v>
      </c>
    </row>
    <row r="6" spans="1:6" x14ac:dyDescent="0.25">
      <c r="A6" s="10" t="s">
        <v>36</v>
      </c>
      <c r="B6" s="11">
        <f>SUM(B4:B5)</f>
        <v>8750000</v>
      </c>
    </row>
    <row r="8" spans="1:6" x14ac:dyDescent="0.25">
      <c r="A8" s="31" t="s">
        <v>37</v>
      </c>
      <c r="B8" s="30"/>
      <c r="C8" s="30"/>
    </row>
    <row r="9" spans="1:6" x14ac:dyDescent="0.25">
      <c r="A9" s="1" t="s">
        <v>38</v>
      </c>
      <c r="B9" s="1" t="s">
        <v>39</v>
      </c>
      <c r="C9" s="12" t="s">
        <v>40</v>
      </c>
    </row>
    <row r="10" spans="1:6" x14ac:dyDescent="0.25">
      <c r="A10" s="2" t="s">
        <v>41</v>
      </c>
      <c r="B10" s="13" t="s">
        <v>42</v>
      </c>
      <c r="C10" s="14">
        <v>1600000</v>
      </c>
    </row>
    <row r="11" spans="1:6" x14ac:dyDescent="0.25">
      <c r="A11" s="2" t="s">
        <v>41</v>
      </c>
      <c r="B11" s="13" t="s">
        <v>43</v>
      </c>
      <c r="C11" s="14">
        <v>35000</v>
      </c>
    </row>
    <row r="12" spans="1:6" x14ac:dyDescent="0.25">
      <c r="A12" s="2" t="s">
        <v>41</v>
      </c>
      <c r="B12" s="13" t="s">
        <v>44</v>
      </c>
      <c r="C12" s="14">
        <v>20000</v>
      </c>
    </row>
    <row r="13" spans="1:6" x14ac:dyDescent="0.25">
      <c r="A13" s="2" t="s">
        <v>41</v>
      </c>
      <c r="B13" s="13" t="s">
        <v>45</v>
      </c>
      <c r="C13" s="14">
        <v>15000</v>
      </c>
    </row>
    <row r="14" spans="1:6" x14ac:dyDescent="0.25">
      <c r="A14" s="2" t="s">
        <v>41</v>
      </c>
      <c r="B14" s="13" t="s">
        <v>46</v>
      </c>
      <c r="C14" s="14">
        <v>30000</v>
      </c>
    </row>
    <row r="15" spans="1:6" x14ac:dyDescent="0.25">
      <c r="A15" s="10" t="s">
        <v>41</v>
      </c>
      <c r="B15" s="15" t="s">
        <v>47</v>
      </c>
      <c r="C15" s="11">
        <f>SUM(C10:C14)</f>
        <v>1700000</v>
      </c>
    </row>
    <row r="17" spans="1:3" x14ac:dyDescent="0.25">
      <c r="A17" s="2" t="s">
        <v>48</v>
      </c>
      <c r="B17" s="13" t="s">
        <v>49</v>
      </c>
      <c r="C17" s="14">
        <v>140000</v>
      </c>
    </row>
    <row r="18" spans="1:3" x14ac:dyDescent="0.25">
      <c r="A18" s="2" t="s">
        <v>48</v>
      </c>
      <c r="B18" s="13" t="s">
        <v>50</v>
      </c>
      <c r="C18" s="14">
        <v>300000</v>
      </c>
    </row>
    <row r="19" spans="1:3" x14ac:dyDescent="0.25">
      <c r="A19" s="2" t="s">
        <v>48</v>
      </c>
      <c r="B19" s="13" t="s">
        <v>51</v>
      </c>
      <c r="C19" s="14">
        <v>220000</v>
      </c>
    </row>
    <row r="20" spans="1:3" x14ac:dyDescent="0.25">
      <c r="A20" s="2" t="s">
        <v>48</v>
      </c>
      <c r="B20" s="13" t="s">
        <v>52</v>
      </c>
      <c r="C20" s="14">
        <v>540000</v>
      </c>
    </row>
    <row r="21" spans="1:3" x14ac:dyDescent="0.25">
      <c r="A21" s="2" t="s">
        <v>48</v>
      </c>
      <c r="B21" s="13" t="s">
        <v>53</v>
      </c>
      <c r="C21" s="14">
        <v>110000</v>
      </c>
    </row>
    <row r="22" spans="1:3" x14ac:dyDescent="0.25">
      <c r="A22" s="2" t="s">
        <v>48</v>
      </c>
      <c r="B22" s="13" t="s">
        <v>54</v>
      </c>
      <c r="C22" s="14">
        <v>80000</v>
      </c>
    </row>
    <row r="23" spans="1:3" x14ac:dyDescent="0.25">
      <c r="A23" s="2" t="s">
        <v>48</v>
      </c>
      <c r="B23" s="13" t="s">
        <v>55</v>
      </c>
      <c r="C23" s="14">
        <v>160000</v>
      </c>
    </row>
    <row r="24" spans="1:3" x14ac:dyDescent="0.25">
      <c r="A24" s="10" t="s">
        <v>48</v>
      </c>
      <c r="B24" s="15" t="s">
        <v>56</v>
      </c>
      <c r="C24" s="11">
        <f>SUM(C17:C23)</f>
        <v>1550000</v>
      </c>
    </row>
    <row r="26" spans="1:3" x14ac:dyDescent="0.25">
      <c r="A26" s="2" t="s">
        <v>57</v>
      </c>
      <c r="B26" s="13" t="s">
        <v>58</v>
      </c>
      <c r="C26" s="14">
        <v>700000</v>
      </c>
    </row>
    <row r="27" spans="1:3" x14ac:dyDescent="0.25">
      <c r="A27" s="2" t="s">
        <v>57</v>
      </c>
      <c r="B27" s="13" t="s">
        <v>59</v>
      </c>
      <c r="C27" s="14">
        <v>240000</v>
      </c>
    </row>
    <row r="28" spans="1:3" x14ac:dyDescent="0.25">
      <c r="A28" s="2" t="s">
        <v>57</v>
      </c>
      <c r="B28" s="13" t="s">
        <v>60</v>
      </c>
      <c r="C28" s="14">
        <v>260000</v>
      </c>
    </row>
    <row r="29" spans="1:3" x14ac:dyDescent="0.25">
      <c r="A29" s="2" t="s">
        <v>57</v>
      </c>
      <c r="B29" s="13" t="s">
        <v>61</v>
      </c>
      <c r="C29" s="14">
        <v>100000</v>
      </c>
    </row>
    <row r="30" spans="1:3" x14ac:dyDescent="0.25">
      <c r="A30" s="10" t="s">
        <v>57</v>
      </c>
      <c r="B30" s="15" t="s">
        <v>62</v>
      </c>
      <c r="C30" s="11">
        <f>SUM(C26:C29)</f>
        <v>1300000</v>
      </c>
    </row>
    <row r="32" spans="1:3" x14ac:dyDescent="0.25">
      <c r="A32" s="2" t="s">
        <v>63</v>
      </c>
      <c r="B32" s="13" t="s">
        <v>64</v>
      </c>
      <c r="C32" s="14">
        <v>930000</v>
      </c>
    </row>
    <row r="33" spans="1:3" x14ac:dyDescent="0.25">
      <c r="A33" s="2" t="s">
        <v>63</v>
      </c>
      <c r="B33" s="13" t="s">
        <v>65</v>
      </c>
      <c r="C33" s="14">
        <v>220000</v>
      </c>
    </row>
    <row r="34" spans="1:3" x14ac:dyDescent="0.25">
      <c r="A34" s="2" t="s">
        <v>63</v>
      </c>
      <c r="B34" s="13" t="s">
        <v>66</v>
      </c>
      <c r="C34" s="14">
        <v>320000</v>
      </c>
    </row>
    <row r="35" spans="1:3" x14ac:dyDescent="0.25">
      <c r="A35" s="2" t="s">
        <v>63</v>
      </c>
      <c r="B35" s="13" t="s">
        <v>67</v>
      </c>
      <c r="C35" s="14">
        <v>250000</v>
      </c>
    </row>
    <row r="36" spans="1:3" x14ac:dyDescent="0.25">
      <c r="A36" s="2" t="s">
        <v>63</v>
      </c>
      <c r="B36" s="13" t="s">
        <v>68</v>
      </c>
      <c r="C36" s="14">
        <v>100000</v>
      </c>
    </row>
    <row r="37" spans="1:3" x14ac:dyDescent="0.25">
      <c r="A37" s="2" t="s">
        <v>63</v>
      </c>
      <c r="B37" s="13" t="s">
        <v>69</v>
      </c>
      <c r="C37" s="14">
        <v>80000</v>
      </c>
    </row>
    <row r="38" spans="1:3" x14ac:dyDescent="0.25">
      <c r="A38" s="2" t="s">
        <v>63</v>
      </c>
      <c r="B38" s="13" t="s">
        <v>70</v>
      </c>
      <c r="C38" s="14">
        <v>100000</v>
      </c>
    </row>
    <row r="39" spans="1:3" x14ac:dyDescent="0.25">
      <c r="A39" s="10" t="s">
        <v>63</v>
      </c>
      <c r="B39" s="15" t="s">
        <v>71</v>
      </c>
      <c r="C39" s="11">
        <f>SUM(C32:C38)</f>
        <v>2000000</v>
      </c>
    </row>
    <row r="41" spans="1:3" x14ac:dyDescent="0.25">
      <c r="A41" s="2" t="s">
        <v>72</v>
      </c>
      <c r="B41" s="13" t="s">
        <v>73</v>
      </c>
      <c r="C41" s="14">
        <v>230000</v>
      </c>
    </row>
    <row r="42" spans="1:3" x14ac:dyDescent="0.25">
      <c r="A42" s="2" t="s">
        <v>72</v>
      </c>
      <c r="B42" s="13" t="s">
        <v>74</v>
      </c>
      <c r="C42" s="14">
        <v>120000</v>
      </c>
    </row>
    <row r="43" spans="1:3" x14ac:dyDescent="0.25">
      <c r="A43" s="2" t="s">
        <v>72</v>
      </c>
      <c r="B43" s="13" t="s">
        <v>75</v>
      </c>
      <c r="C43" s="14">
        <v>60000</v>
      </c>
    </row>
    <row r="44" spans="1:3" x14ac:dyDescent="0.25">
      <c r="A44" s="2" t="s">
        <v>72</v>
      </c>
      <c r="B44" s="13" t="s">
        <v>76</v>
      </c>
      <c r="C44" s="14">
        <v>50000</v>
      </c>
    </row>
    <row r="45" spans="1:3" x14ac:dyDescent="0.25">
      <c r="A45" s="2" t="s">
        <v>72</v>
      </c>
      <c r="B45" s="13" t="s">
        <v>77</v>
      </c>
      <c r="C45" s="14">
        <v>90000</v>
      </c>
    </row>
    <row r="46" spans="1:3" x14ac:dyDescent="0.25">
      <c r="A46" s="10" t="s">
        <v>72</v>
      </c>
      <c r="B46" s="15" t="s">
        <v>78</v>
      </c>
      <c r="C46" s="11">
        <f>SUM(C41:C45)</f>
        <v>550000</v>
      </c>
    </row>
    <row r="48" spans="1:3" x14ac:dyDescent="0.25">
      <c r="A48" s="2" t="s">
        <v>79</v>
      </c>
      <c r="B48" s="13" t="s">
        <v>80</v>
      </c>
      <c r="C48" s="14">
        <v>850000</v>
      </c>
    </row>
    <row r="49" spans="1:3" x14ac:dyDescent="0.25">
      <c r="A49" s="2" t="s">
        <v>79</v>
      </c>
      <c r="B49" s="13" t="s">
        <v>81</v>
      </c>
      <c r="C49" s="14">
        <v>75000</v>
      </c>
    </row>
    <row r="50" spans="1:3" x14ac:dyDescent="0.25">
      <c r="A50" s="2" t="s">
        <v>79</v>
      </c>
      <c r="B50" s="13" t="s">
        <v>82</v>
      </c>
      <c r="C50" s="14">
        <v>25000</v>
      </c>
    </row>
    <row r="51" spans="1:3" x14ac:dyDescent="0.25">
      <c r="A51" s="2" t="s">
        <v>79</v>
      </c>
      <c r="B51" s="13" t="s">
        <v>83</v>
      </c>
      <c r="C51" s="14">
        <v>700000</v>
      </c>
    </row>
    <row r="52" spans="1:3" x14ac:dyDescent="0.25">
      <c r="A52" s="10" t="s">
        <v>79</v>
      </c>
      <c r="B52" s="15" t="s">
        <v>84</v>
      </c>
      <c r="C52" s="11">
        <f>SUM(C48:C51)</f>
        <v>1650000</v>
      </c>
    </row>
    <row r="55" spans="1:3" x14ac:dyDescent="0.25">
      <c r="A55" s="16" t="s">
        <v>85</v>
      </c>
      <c r="B55" s="16" t="s">
        <v>86</v>
      </c>
      <c r="C55" s="17">
        <f>SUM(C15,C24,C30,C39,C46,C52)</f>
        <v>8750000</v>
      </c>
    </row>
  </sheetData>
  <mergeCells count="3">
    <mergeCell ref="A8:C8"/>
    <mergeCell ref="A3:B3"/>
    <mergeCell ref="A1:F1"/>
  </mergeCell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"/>
  <sheetViews>
    <sheetView showGridLines="0" workbookViewId="0">
      <selection sqref="A1:C1"/>
    </sheetView>
  </sheetViews>
  <sheetFormatPr defaultRowHeight="15" x14ac:dyDescent="0.25"/>
  <cols>
    <col min="1" max="1" width="38" customWidth="1"/>
    <col min="2" max="3" width="18" customWidth="1"/>
  </cols>
  <sheetData>
    <row r="1" spans="1:3" ht="15.75" x14ac:dyDescent="0.25">
      <c r="A1" s="29" t="s">
        <v>87</v>
      </c>
      <c r="B1" s="30"/>
      <c r="C1" s="30"/>
    </row>
    <row r="3" spans="1:3" x14ac:dyDescent="0.25">
      <c r="A3" s="1" t="s">
        <v>88</v>
      </c>
      <c r="B3" s="12" t="s">
        <v>89</v>
      </c>
      <c r="C3" s="1" t="s">
        <v>90</v>
      </c>
    </row>
    <row r="4" spans="1:3" x14ac:dyDescent="0.25">
      <c r="A4" s="2" t="s">
        <v>91</v>
      </c>
      <c r="B4" s="8">
        <f>'Sources &amp; Uses'!C15</f>
        <v>1700000</v>
      </c>
      <c r="C4" s="2" t="s">
        <v>92</v>
      </c>
    </row>
    <row r="5" spans="1:3" x14ac:dyDescent="0.25">
      <c r="A5" s="2" t="s">
        <v>93</v>
      </c>
      <c r="B5" s="8">
        <f>'Sources &amp; Uses'!C24</f>
        <v>1550000</v>
      </c>
      <c r="C5" s="2" t="s">
        <v>94</v>
      </c>
    </row>
    <row r="6" spans="1:3" x14ac:dyDescent="0.25">
      <c r="A6" s="2" t="s">
        <v>95</v>
      </c>
      <c r="B6" s="8">
        <f>'Sources &amp; Uses'!C30</f>
        <v>1300000</v>
      </c>
      <c r="C6" s="2" t="s">
        <v>96</v>
      </c>
    </row>
    <row r="7" spans="1:3" x14ac:dyDescent="0.25">
      <c r="A7" s="2" t="s">
        <v>97</v>
      </c>
      <c r="B7" s="8">
        <f>'Sources &amp; Uses'!C39</f>
        <v>2000000</v>
      </c>
      <c r="C7" s="2" t="s">
        <v>98</v>
      </c>
    </row>
    <row r="8" spans="1:3" x14ac:dyDescent="0.25">
      <c r="A8" s="2" t="s">
        <v>99</v>
      </c>
      <c r="B8" s="8">
        <f>'Sources &amp; Uses'!C46</f>
        <v>550000</v>
      </c>
      <c r="C8" s="2" t="s">
        <v>100</v>
      </c>
    </row>
    <row r="9" spans="1:3" x14ac:dyDescent="0.25">
      <c r="A9" s="2" t="s">
        <v>101</v>
      </c>
      <c r="B9" s="8">
        <f>'Sources &amp; Uses'!C52</f>
        <v>1650000</v>
      </c>
      <c r="C9" s="2" t="s">
        <v>102</v>
      </c>
    </row>
    <row r="10" spans="1:3" x14ac:dyDescent="0.25">
      <c r="A10" s="10" t="s">
        <v>103</v>
      </c>
      <c r="B10" s="11">
        <f>'Sources &amp; Uses'!C55</f>
        <v>8750000</v>
      </c>
      <c r="C10" s="10" t="s">
        <v>104</v>
      </c>
    </row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"/>
  <sheetViews>
    <sheetView showGridLines="0" workbookViewId="0">
      <selection sqref="A1:C1"/>
    </sheetView>
  </sheetViews>
  <sheetFormatPr defaultRowHeight="15" x14ac:dyDescent="0.25"/>
  <cols>
    <col min="1" max="1" width="36" customWidth="1"/>
    <col min="2" max="3" width="18" customWidth="1"/>
  </cols>
  <sheetData>
    <row r="1" spans="1:3" ht="15.75" x14ac:dyDescent="0.25">
      <c r="A1" s="29" t="s">
        <v>105</v>
      </c>
      <c r="B1" s="30"/>
      <c r="C1" s="30"/>
    </row>
    <row r="3" spans="1:3" x14ac:dyDescent="0.25">
      <c r="A3" s="31" t="s">
        <v>106</v>
      </c>
      <c r="B3" s="30"/>
      <c r="C3" s="30"/>
    </row>
    <row r="4" spans="1:3" x14ac:dyDescent="0.25">
      <c r="A4" s="2" t="s">
        <v>107</v>
      </c>
      <c r="B4" s="8">
        <f>'Operating Assumptions'!B24</f>
        <v>6125000</v>
      </c>
      <c r="C4" s="4" t="s">
        <v>108</v>
      </c>
    </row>
    <row r="5" spans="1:3" x14ac:dyDescent="0.25">
      <c r="A5" s="2" t="s">
        <v>26</v>
      </c>
      <c r="B5" s="18">
        <f>'Operating Assumptions'!B28</f>
        <v>7.0000000000000007E-2</v>
      </c>
      <c r="C5" s="4" t="s">
        <v>108</v>
      </c>
    </row>
    <row r="6" spans="1:3" x14ac:dyDescent="0.25">
      <c r="A6" s="2" t="s">
        <v>109</v>
      </c>
      <c r="B6" s="3">
        <v>10</v>
      </c>
      <c r="C6" s="4" t="s">
        <v>3</v>
      </c>
    </row>
    <row r="7" spans="1:3" x14ac:dyDescent="0.25">
      <c r="A7" s="2" t="s">
        <v>110</v>
      </c>
      <c r="B7" s="6">
        <v>0.55000000000000004</v>
      </c>
      <c r="C7" s="4" t="s">
        <v>3</v>
      </c>
    </row>
    <row r="8" spans="1:3" x14ac:dyDescent="0.25">
      <c r="A8" s="2" t="s">
        <v>105</v>
      </c>
      <c r="B8" s="7">
        <f>B4*B5*B6/12*B7</f>
        <v>196510.41666666672</v>
      </c>
      <c r="C8" s="4" t="s">
        <v>9</v>
      </c>
    </row>
    <row r="10" spans="1:3" x14ac:dyDescent="0.25">
      <c r="A10" s="4" t="s">
        <v>111</v>
      </c>
      <c r="B10" s="4" t="s">
        <v>112</v>
      </c>
    </row>
  </sheetData>
  <mergeCells count="2">
    <mergeCell ref="A1:C1"/>
    <mergeCell ref="A3:C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5"/>
  <sheetViews>
    <sheetView showGridLines="0" workbookViewId="0">
      <selection sqref="A1:B1"/>
    </sheetView>
  </sheetViews>
  <sheetFormatPr defaultRowHeight="15" x14ac:dyDescent="0.25"/>
  <cols>
    <col min="1" max="1" width="36" customWidth="1"/>
    <col min="2" max="2" width="18" customWidth="1"/>
  </cols>
  <sheetData>
    <row r="1" spans="1:2" ht="15.75" x14ac:dyDescent="0.25">
      <c r="A1" s="29" t="s">
        <v>113</v>
      </c>
      <c r="B1" s="30"/>
    </row>
    <row r="3" spans="1:2" x14ac:dyDescent="0.25">
      <c r="A3" s="31" t="s">
        <v>114</v>
      </c>
      <c r="B3" s="30"/>
    </row>
    <row r="4" spans="1:2" x14ac:dyDescent="0.25">
      <c r="A4" s="2" t="s">
        <v>107</v>
      </c>
      <c r="B4" s="8">
        <f>'Operating Assumptions'!B24</f>
        <v>6125000</v>
      </c>
    </row>
    <row r="5" spans="1:2" x14ac:dyDescent="0.25">
      <c r="A5" s="2" t="s">
        <v>26</v>
      </c>
      <c r="B5" s="18">
        <f>'Operating Assumptions'!B28</f>
        <v>7.0000000000000007E-2</v>
      </c>
    </row>
    <row r="6" spans="1:2" x14ac:dyDescent="0.25">
      <c r="A6" s="2" t="s">
        <v>27</v>
      </c>
      <c r="B6" s="19">
        <f>'Operating Assumptions'!B29</f>
        <v>25</v>
      </c>
    </row>
    <row r="7" spans="1:2" x14ac:dyDescent="0.25">
      <c r="A7" s="2" t="s">
        <v>115</v>
      </c>
      <c r="B7" s="7">
        <f>-PMT(B5/12,B6*12,B4)*12</f>
        <v>519482.70999719249</v>
      </c>
    </row>
    <row r="8" spans="1:2" x14ac:dyDescent="0.25">
      <c r="A8" s="2" t="s">
        <v>21</v>
      </c>
      <c r="B8" s="8">
        <f>'Operating Assumptions'!B23</f>
        <v>1983280</v>
      </c>
    </row>
    <row r="9" spans="1:2" x14ac:dyDescent="0.25">
      <c r="A9" s="2" t="s">
        <v>116</v>
      </c>
      <c r="B9" s="20">
        <f>B8/B7</f>
        <v>3.8177979013213328</v>
      </c>
    </row>
    <row r="12" spans="1:2" x14ac:dyDescent="0.25">
      <c r="A12" s="31" t="s">
        <v>117</v>
      </c>
      <c r="B12" s="30"/>
    </row>
    <row r="13" spans="1:2" x14ac:dyDescent="0.25">
      <c r="A13" s="2" t="s">
        <v>118</v>
      </c>
      <c r="B13" s="8">
        <f>'Refi Analysis'!B8</f>
        <v>8329775.9999999991</v>
      </c>
    </row>
    <row r="14" spans="1:2" x14ac:dyDescent="0.25">
      <c r="A14" s="2" t="s">
        <v>119</v>
      </c>
      <c r="B14" s="7">
        <f>-PMT('Operating Assumptions'!B28/12,'Operating Assumptions'!B29*12,B13)*12</f>
        <v>706477.4873713589</v>
      </c>
    </row>
    <row r="15" spans="1:2" x14ac:dyDescent="0.25">
      <c r="A15" s="2" t="s">
        <v>120</v>
      </c>
      <c r="B15" s="7">
        <f>'Operating Assumptions'!B23-B14</f>
        <v>1276802.512628641</v>
      </c>
    </row>
  </sheetData>
  <mergeCells count="3">
    <mergeCell ref="A3:B3"/>
    <mergeCell ref="A1:B1"/>
    <mergeCell ref="A12:B1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6"/>
  <sheetViews>
    <sheetView showGridLines="0" topLeftCell="A23" workbookViewId="0">
      <selection sqref="A1:B1"/>
    </sheetView>
  </sheetViews>
  <sheetFormatPr defaultRowHeight="15" x14ac:dyDescent="0.25"/>
  <cols>
    <col min="1" max="1" width="72" customWidth="1"/>
    <col min="2" max="2" width="18" customWidth="1"/>
  </cols>
  <sheetData>
    <row r="1" spans="1:2" ht="15.75" x14ac:dyDescent="0.25">
      <c r="A1" s="29" t="s">
        <v>121</v>
      </c>
      <c r="B1" s="30"/>
    </row>
    <row r="3" spans="1:2" ht="38.1" customHeight="1" x14ac:dyDescent="0.25">
      <c r="A3" s="13" t="s">
        <v>122</v>
      </c>
    </row>
    <row r="4" spans="1:2" ht="9.9499999999999993" customHeight="1" x14ac:dyDescent="0.25">
      <c r="A4" s="21" t="s">
        <v>104</v>
      </c>
    </row>
    <row r="5" spans="1:2" ht="38.1" customHeight="1" x14ac:dyDescent="0.25">
      <c r="A5" s="13" t="s">
        <v>123</v>
      </c>
    </row>
    <row r="6" spans="1:2" ht="9.9499999999999993" customHeight="1" x14ac:dyDescent="0.25">
      <c r="A6" s="21" t="s">
        <v>104</v>
      </c>
    </row>
    <row r="7" spans="1:2" ht="38.1" customHeight="1" x14ac:dyDescent="0.25">
      <c r="A7" s="13" t="s">
        <v>124</v>
      </c>
    </row>
    <row r="8" spans="1:2" ht="9.9499999999999993" customHeight="1" x14ac:dyDescent="0.25">
      <c r="A8" s="21" t="s">
        <v>104</v>
      </c>
    </row>
    <row r="9" spans="1:2" ht="38.1" customHeight="1" x14ac:dyDescent="0.25">
      <c r="A9" s="13" t="s">
        <v>125</v>
      </c>
    </row>
    <row r="10" spans="1:2" x14ac:dyDescent="0.25">
      <c r="A10" s="31" t="s">
        <v>126</v>
      </c>
      <c r="B10" s="30"/>
    </row>
    <row r="11" spans="1:2" x14ac:dyDescent="0.25">
      <c r="A11" s="2" t="s">
        <v>127</v>
      </c>
      <c r="B11" s="8">
        <f>'Sources &amp; Uses'!C55</f>
        <v>8750000</v>
      </c>
    </row>
    <row r="12" spans="1:2" x14ac:dyDescent="0.25">
      <c r="A12" s="2" t="s">
        <v>8</v>
      </c>
      <c r="B12" s="8">
        <f>'Operating Assumptions'!B24</f>
        <v>6125000</v>
      </c>
    </row>
    <row r="13" spans="1:2" x14ac:dyDescent="0.25">
      <c r="A13" s="2" t="s">
        <v>128</v>
      </c>
      <c r="B13" s="8">
        <f>'Operating Assumptions'!B25</f>
        <v>2625000</v>
      </c>
    </row>
    <row r="14" spans="1:2" x14ac:dyDescent="0.25">
      <c r="A14" s="2" t="s">
        <v>129</v>
      </c>
      <c r="B14" s="8">
        <f>'Operating Assumptions'!B21</f>
        <v>3051200</v>
      </c>
    </row>
    <row r="15" spans="1:2" x14ac:dyDescent="0.25">
      <c r="A15" s="2" t="s">
        <v>21</v>
      </c>
      <c r="B15" s="8">
        <f>'Operating Assumptions'!B23</f>
        <v>1983280</v>
      </c>
    </row>
    <row r="16" spans="1:2" x14ac:dyDescent="0.25">
      <c r="A16" s="2" t="s">
        <v>130</v>
      </c>
      <c r="B16" s="22">
        <f>'Debt Service'!B9</f>
        <v>3.8177979013213328</v>
      </c>
    </row>
  </sheetData>
  <mergeCells count="2">
    <mergeCell ref="A10:B10"/>
    <mergeCell ref="A1:B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0"/>
  <sheetViews>
    <sheetView showGridLines="0" workbookViewId="0">
      <selection sqref="A1:B1"/>
    </sheetView>
  </sheetViews>
  <sheetFormatPr defaultRowHeight="15" x14ac:dyDescent="0.25"/>
  <cols>
    <col min="1" max="1" width="36" customWidth="1"/>
    <col min="2" max="2" width="18" customWidth="1"/>
  </cols>
  <sheetData>
    <row r="1" spans="1:2" ht="15.75" x14ac:dyDescent="0.25">
      <c r="A1" s="29" t="s">
        <v>131</v>
      </c>
      <c r="B1" s="30"/>
    </row>
    <row r="3" spans="1:2" x14ac:dyDescent="0.25">
      <c r="A3" s="31" t="s">
        <v>132</v>
      </c>
      <c r="B3" s="30"/>
    </row>
    <row r="4" spans="1:2" x14ac:dyDescent="0.25">
      <c r="A4" s="2" t="s">
        <v>21</v>
      </c>
      <c r="B4" s="8">
        <f>'Operating Assumptions'!B23</f>
        <v>1983280</v>
      </c>
    </row>
    <row r="5" spans="1:2" x14ac:dyDescent="0.25">
      <c r="A5" s="2" t="s">
        <v>29</v>
      </c>
      <c r="B5" s="23">
        <f>'Operating Assumptions'!B31</f>
        <v>6</v>
      </c>
    </row>
    <row r="6" spans="1:2" x14ac:dyDescent="0.25">
      <c r="A6" s="2" t="s">
        <v>133</v>
      </c>
      <c r="B6" s="7">
        <f>B4*B5</f>
        <v>11899680</v>
      </c>
    </row>
    <row r="7" spans="1:2" x14ac:dyDescent="0.25">
      <c r="A7" s="2" t="s">
        <v>28</v>
      </c>
      <c r="B7" s="18">
        <f>'Operating Assumptions'!B30</f>
        <v>0.7</v>
      </c>
    </row>
    <row r="8" spans="1:2" x14ac:dyDescent="0.25">
      <c r="A8" s="2" t="s">
        <v>134</v>
      </c>
      <c r="B8" s="7">
        <f>B6*B7</f>
        <v>8329775.9999999991</v>
      </c>
    </row>
    <row r="9" spans="1:2" x14ac:dyDescent="0.25">
      <c r="A9" s="2" t="s">
        <v>135</v>
      </c>
      <c r="B9" s="8">
        <f>'Operating Assumptions'!B24</f>
        <v>6125000</v>
      </c>
    </row>
    <row r="10" spans="1:2" x14ac:dyDescent="0.25">
      <c r="A10" s="2" t="s">
        <v>136</v>
      </c>
      <c r="B10" s="7">
        <f>B8-B9</f>
        <v>2204775.9999999991</v>
      </c>
    </row>
    <row r="11" spans="1:2" x14ac:dyDescent="0.25">
      <c r="A11" s="2" t="s">
        <v>137</v>
      </c>
      <c r="B11" s="8">
        <f>'Operating Assumptions'!B25</f>
        <v>2625000</v>
      </c>
    </row>
    <row r="12" spans="1:2" x14ac:dyDescent="0.25">
      <c r="A12" s="2" t="s">
        <v>138</v>
      </c>
      <c r="B12" s="24">
        <f>B10/B11</f>
        <v>0.83991466666666637</v>
      </c>
    </row>
    <row r="15" spans="1:2" x14ac:dyDescent="0.25">
      <c r="A15" s="31" t="s">
        <v>139</v>
      </c>
      <c r="B15" s="30"/>
    </row>
    <row r="16" spans="1:2" x14ac:dyDescent="0.25">
      <c r="A16" s="2" t="s">
        <v>119</v>
      </c>
      <c r="B16" s="7">
        <f>-PMT('Operating Assumptions'!B28/12,'Operating Assumptions'!B29*12,B8)*12</f>
        <v>706477.4873713589</v>
      </c>
    </row>
    <row r="17" spans="1:2" x14ac:dyDescent="0.25">
      <c r="A17" s="2" t="s">
        <v>120</v>
      </c>
      <c r="B17" s="7">
        <f>'Operating Assumptions'!B23-B16</f>
        <v>1276802.512628641</v>
      </c>
    </row>
    <row r="18" spans="1:2" x14ac:dyDescent="0.25">
      <c r="A18" s="2" t="s">
        <v>30</v>
      </c>
      <c r="B18" s="23">
        <f>'Operating Assumptions'!B32</f>
        <v>6.5</v>
      </c>
    </row>
    <row r="19" spans="1:2" x14ac:dyDescent="0.25">
      <c r="A19" s="2" t="s">
        <v>140</v>
      </c>
      <c r="B19" s="7">
        <f>'Operating Assumptions'!B23*B18</f>
        <v>12891320</v>
      </c>
    </row>
    <row r="20" spans="1:2" x14ac:dyDescent="0.25">
      <c r="A20" s="2" t="s">
        <v>141</v>
      </c>
      <c r="B20" s="7">
        <f>B19-B8</f>
        <v>4561544.0000000009</v>
      </c>
    </row>
  </sheetData>
  <mergeCells count="3">
    <mergeCell ref="A3:B3"/>
    <mergeCell ref="A1:B1"/>
    <mergeCell ref="A15:B1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4"/>
  <sheetViews>
    <sheetView showGridLines="0" topLeftCell="A15" workbookViewId="0">
      <selection sqref="A1:G1"/>
    </sheetView>
  </sheetViews>
  <sheetFormatPr defaultRowHeight="15" x14ac:dyDescent="0.25"/>
  <cols>
    <col min="1" max="1" width="34" customWidth="1"/>
    <col min="2" max="7" width="14" customWidth="1"/>
  </cols>
  <sheetData>
    <row r="1" spans="1:7" ht="15.75" x14ac:dyDescent="0.25">
      <c r="A1" s="29" t="s">
        <v>142</v>
      </c>
      <c r="B1" s="30"/>
      <c r="C1" s="30"/>
      <c r="D1" s="30"/>
      <c r="E1" s="30"/>
      <c r="F1" s="30"/>
      <c r="G1" s="30"/>
    </row>
    <row r="3" spans="1:7" x14ac:dyDescent="0.25">
      <c r="B3" s="12" t="s">
        <v>143</v>
      </c>
      <c r="C3" s="12" t="s">
        <v>144</v>
      </c>
      <c r="D3" s="12" t="s">
        <v>145</v>
      </c>
      <c r="E3" s="12" t="s">
        <v>146</v>
      </c>
      <c r="F3" s="12" t="s">
        <v>147</v>
      </c>
      <c r="G3" s="12" t="s">
        <v>148</v>
      </c>
    </row>
    <row r="4" spans="1:7" x14ac:dyDescent="0.25">
      <c r="A4" s="2" t="s">
        <v>149</v>
      </c>
      <c r="B4" s="25">
        <v>0</v>
      </c>
      <c r="C4" s="25">
        <v>0.5</v>
      </c>
      <c r="D4" s="25">
        <v>1</v>
      </c>
      <c r="E4" s="25">
        <v>1</v>
      </c>
      <c r="F4" s="25">
        <v>1</v>
      </c>
      <c r="G4" s="25">
        <v>1</v>
      </c>
    </row>
    <row r="5" spans="1:7" x14ac:dyDescent="0.25">
      <c r="A5" s="2" t="s">
        <v>150</v>
      </c>
      <c r="B5" s="7">
        <v>0</v>
      </c>
      <c r="C5" s="7">
        <f>'Operating Assumptions'!B25*'Operating Assumptions'!B33*C4</f>
        <v>105000</v>
      </c>
      <c r="D5" s="7">
        <f>'Operating Assumptions'!B25*'Operating Assumptions'!B33*D4+'Refi Analysis'!B10</f>
        <v>2414775.9999999991</v>
      </c>
      <c r="E5" s="7">
        <f>'Refi Analysis'!B17</f>
        <v>1276802.512628641</v>
      </c>
      <c r="F5" s="7">
        <f>'Refi Analysis'!B17</f>
        <v>1276802.512628641</v>
      </c>
      <c r="G5" s="7">
        <f>'Refi Analysis'!B17+'Refi Analysis'!B20</f>
        <v>5838346.5126286419</v>
      </c>
    </row>
    <row r="6" spans="1:7" x14ac:dyDescent="0.25">
      <c r="A6" s="2" t="s">
        <v>151</v>
      </c>
      <c r="B6" s="7">
        <f>'Operating Assumptions'!B25</f>
        <v>2625000</v>
      </c>
      <c r="C6" s="7">
        <f>B18</f>
        <v>2625000</v>
      </c>
      <c r="D6" s="7">
        <f>C18</f>
        <v>2625000</v>
      </c>
      <c r="E6" s="7">
        <f>D18</f>
        <v>420224.00000000093</v>
      </c>
      <c r="F6" s="7">
        <f>E18</f>
        <v>0</v>
      </c>
      <c r="G6" s="7">
        <f>F18</f>
        <v>0</v>
      </c>
    </row>
    <row r="7" spans="1:7" x14ac:dyDescent="0.25">
      <c r="A7" s="2" t="s">
        <v>152</v>
      </c>
      <c r="B7" s="7">
        <v>0</v>
      </c>
      <c r="C7" s="7">
        <v>0</v>
      </c>
      <c r="D7" s="7">
        <f>MIN(D6,'Refi Analysis'!B10)</f>
        <v>2204775.9999999991</v>
      </c>
      <c r="E7" s="7">
        <v>0</v>
      </c>
      <c r="F7" s="7">
        <v>0</v>
      </c>
      <c r="G7" s="7">
        <v>0</v>
      </c>
    </row>
    <row r="8" spans="1:7" x14ac:dyDescent="0.25">
      <c r="A8" s="2" t="s">
        <v>153</v>
      </c>
      <c r="B8" s="7">
        <f t="shared" ref="B8:G8" si="0">B6-B7</f>
        <v>2625000</v>
      </c>
      <c r="C8" s="7">
        <f t="shared" si="0"/>
        <v>2625000</v>
      </c>
      <c r="D8" s="7">
        <f t="shared" si="0"/>
        <v>420224.00000000093</v>
      </c>
      <c r="E8" s="7">
        <f t="shared" si="0"/>
        <v>420224.00000000093</v>
      </c>
      <c r="F8" s="7">
        <f t="shared" si="0"/>
        <v>0</v>
      </c>
      <c r="G8" s="7">
        <f t="shared" si="0"/>
        <v>0</v>
      </c>
    </row>
    <row r="9" spans="1:7" x14ac:dyDescent="0.25">
      <c r="A9" s="2" t="s">
        <v>154</v>
      </c>
      <c r="B9" s="7">
        <f>B6*'Operating Assumptions'!B33*B4</f>
        <v>0</v>
      </c>
      <c r="C9" s="7">
        <f>C6*'Operating Assumptions'!B33*C4</f>
        <v>105000</v>
      </c>
      <c r="D9" s="7">
        <f>D6*'Operating Assumptions'!B33*D4</f>
        <v>210000</v>
      </c>
      <c r="E9" s="7">
        <f>E6*'Operating Assumptions'!B33*E4</f>
        <v>33617.920000000078</v>
      </c>
      <c r="F9" s="7">
        <f>F6*'Operating Assumptions'!B33*F4</f>
        <v>0</v>
      </c>
      <c r="G9" s="7">
        <f>G6*'Operating Assumptions'!B33*G4</f>
        <v>0</v>
      </c>
    </row>
    <row r="10" spans="1:7" x14ac:dyDescent="0.25">
      <c r="A10" s="2" t="s">
        <v>155</v>
      </c>
      <c r="B10" s="7">
        <f t="shared" ref="B10:G10" si="1">MIN(MAX(0,B5-B7),B9)</f>
        <v>0</v>
      </c>
      <c r="C10" s="7">
        <f t="shared" si="1"/>
        <v>105000</v>
      </c>
      <c r="D10" s="7">
        <f t="shared" si="1"/>
        <v>210000</v>
      </c>
      <c r="E10" s="7">
        <f t="shared" si="1"/>
        <v>33617.920000000078</v>
      </c>
      <c r="F10" s="7">
        <f t="shared" si="1"/>
        <v>0</v>
      </c>
      <c r="G10" s="7">
        <f t="shared" si="1"/>
        <v>0</v>
      </c>
    </row>
    <row r="11" spans="1:7" x14ac:dyDescent="0.25">
      <c r="A11" s="2" t="s">
        <v>156</v>
      </c>
      <c r="B11" s="7">
        <f t="shared" ref="B11:G11" si="2">MAX(0,B5-B7-B10)</f>
        <v>0</v>
      </c>
      <c r="C11" s="7">
        <f t="shared" si="2"/>
        <v>0</v>
      </c>
      <c r="D11" s="7">
        <f t="shared" si="2"/>
        <v>0</v>
      </c>
      <c r="E11" s="7">
        <f t="shared" si="2"/>
        <v>1243184.5926286408</v>
      </c>
      <c r="F11" s="7">
        <f t="shared" si="2"/>
        <v>1276802.512628641</v>
      </c>
      <c r="G11" s="7">
        <f t="shared" si="2"/>
        <v>5838346.5126286419</v>
      </c>
    </row>
    <row r="12" spans="1:7" x14ac:dyDescent="0.25">
      <c r="A12" s="2" t="s">
        <v>157</v>
      </c>
      <c r="B12" s="7">
        <f t="shared" ref="B12:G12" si="3">IF(B8&gt;0,MIN(B11,B8/0.4),0)</f>
        <v>0</v>
      </c>
      <c r="C12" s="7">
        <f t="shared" si="3"/>
        <v>0</v>
      </c>
      <c r="D12" s="7">
        <f t="shared" si="3"/>
        <v>0</v>
      </c>
      <c r="E12" s="7">
        <f t="shared" si="3"/>
        <v>1050560.0000000023</v>
      </c>
      <c r="F12" s="7">
        <f t="shared" si="3"/>
        <v>0</v>
      </c>
      <c r="G12" s="7">
        <f t="shared" si="3"/>
        <v>0</v>
      </c>
    </row>
    <row r="13" spans="1:7" x14ac:dyDescent="0.25">
      <c r="A13" s="2" t="s">
        <v>158</v>
      </c>
      <c r="B13" s="7">
        <f t="shared" ref="B13:G13" si="4">B12*0.4</f>
        <v>0</v>
      </c>
      <c r="C13" s="7">
        <f t="shared" si="4"/>
        <v>0</v>
      </c>
      <c r="D13" s="7">
        <f t="shared" si="4"/>
        <v>0</v>
      </c>
      <c r="E13" s="7">
        <f t="shared" si="4"/>
        <v>420224.00000000093</v>
      </c>
      <c r="F13" s="7">
        <f t="shared" si="4"/>
        <v>0</v>
      </c>
      <c r="G13" s="7">
        <f t="shared" si="4"/>
        <v>0</v>
      </c>
    </row>
    <row r="14" spans="1:7" x14ac:dyDescent="0.25">
      <c r="A14" s="2" t="s">
        <v>159</v>
      </c>
      <c r="B14" s="7">
        <f t="shared" ref="B14:G14" si="5">B12*0.6</f>
        <v>0</v>
      </c>
      <c r="C14" s="7">
        <f t="shared" si="5"/>
        <v>0</v>
      </c>
      <c r="D14" s="7">
        <f t="shared" si="5"/>
        <v>0</v>
      </c>
      <c r="E14" s="7">
        <f t="shared" si="5"/>
        <v>630336.0000000014</v>
      </c>
      <c r="F14" s="7">
        <f t="shared" si="5"/>
        <v>0</v>
      </c>
      <c r="G14" s="7">
        <f t="shared" si="5"/>
        <v>0</v>
      </c>
    </row>
    <row r="15" spans="1:7" x14ac:dyDescent="0.25">
      <c r="A15" s="2" t="s">
        <v>160</v>
      </c>
      <c r="B15" s="7">
        <f t="shared" ref="B15:G15" si="6">MAX(0,B11-B12)</f>
        <v>0</v>
      </c>
      <c r="C15" s="7">
        <f t="shared" si="6"/>
        <v>0</v>
      </c>
      <c r="D15" s="7">
        <f t="shared" si="6"/>
        <v>0</v>
      </c>
      <c r="E15" s="7">
        <f t="shared" si="6"/>
        <v>192624.59262863849</v>
      </c>
      <c r="F15" s="7">
        <f t="shared" si="6"/>
        <v>1276802.512628641</v>
      </c>
      <c r="G15" s="7">
        <f t="shared" si="6"/>
        <v>5838346.5126286419</v>
      </c>
    </row>
    <row r="16" spans="1:7" x14ac:dyDescent="0.25">
      <c r="A16" s="2" t="s">
        <v>161</v>
      </c>
      <c r="B16" s="7">
        <f t="shared" ref="B16:G16" si="7">B15*0.2</f>
        <v>0</v>
      </c>
      <c r="C16" s="7">
        <f t="shared" si="7"/>
        <v>0</v>
      </c>
      <c r="D16" s="7">
        <f t="shared" si="7"/>
        <v>0</v>
      </c>
      <c r="E16" s="7">
        <f t="shared" si="7"/>
        <v>38524.918525727699</v>
      </c>
      <c r="F16" s="7">
        <f t="shared" si="7"/>
        <v>255360.5025257282</v>
      </c>
      <c r="G16" s="7">
        <f t="shared" si="7"/>
        <v>1167669.3025257285</v>
      </c>
    </row>
    <row r="17" spans="1:7" x14ac:dyDescent="0.25">
      <c r="A17" s="2" t="s">
        <v>162</v>
      </c>
      <c r="B17" s="7">
        <f t="shared" ref="B17:G17" si="8">B15*0.8</f>
        <v>0</v>
      </c>
      <c r="C17" s="7">
        <f t="shared" si="8"/>
        <v>0</v>
      </c>
      <c r="D17" s="7">
        <f t="shared" si="8"/>
        <v>0</v>
      </c>
      <c r="E17" s="7">
        <f t="shared" si="8"/>
        <v>154099.67410291079</v>
      </c>
      <c r="F17" s="7">
        <f t="shared" si="8"/>
        <v>1021442.0101029128</v>
      </c>
      <c r="G17" s="7">
        <f t="shared" si="8"/>
        <v>4670677.2101029139</v>
      </c>
    </row>
    <row r="18" spans="1:7" x14ac:dyDescent="0.25">
      <c r="A18" s="2" t="s">
        <v>163</v>
      </c>
      <c r="B18" s="7">
        <f t="shared" ref="B18:G18" si="9">MAX(0,B8-B13)</f>
        <v>2625000</v>
      </c>
      <c r="C18" s="7">
        <f t="shared" si="9"/>
        <v>2625000</v>
      </c>
      <c r="D18" s="7">
        <f t="shared" si="9"/>
        <v>420224.00000000093</v>
      </c>
      <c r="E18" s="7">
        <f t="shared" si="9"/>
        <v>0</v>
      </c>
      <c r="F18" s="7">
        <f t="shared" si="9"/>
        <v>0</v>
      </c>
      <c r="G18" s="7">
        <f t="shared" si="9"/>
        <v>0</v>
      </c>
    </row>
    <row r="19" spans="1:7" x14ac:dyDescent="0.25">
      <c r="A19" s="10" t="s">
        <v>164</v>
      </c>
      <c r="B19" s="26">
        <f>-'Operating Assumptions'!B25</f>
        <v>-2625000</v>
      </c>
      <c r="C19" s="26">
        <f>C7+C10+C13+C16</f>
        <v>105000</v>
      </c>
      <c r="D19" s="26">
        <f>D7+D10+D13+D16</f>
        <v>2414775.9999999991</v>
      </c>
      <c r="E19" s="26">
        <f>E7+E10+E13+E16</f>
        <v>492366.83852572873</v>
      </c>
      <c r="F19" s="26">
        <f>F7+F10+F13+F16</f>
        <v>255360.5025257282</v>
      </c>
      <c r="G19" s="26">
        <f>G7+G10+G13+G16</f>
        <v>1167669.3025257285</v>
      </c>
    </row>
    <row r="20" spans="1:7" x14ac:dyDescent="0.25">
      <c r="A20" s="10" t="s">
        <v>165</v>
      </c>
      <c r="B20" s="26">
        <v>0</v>
      </c>
      <c r="C20" s="26">
        <f>C14+C17</f>
        <v>0</v>
      </c>
      <c r="D20" s="26">
        <f>D14+D17</f>
        <v>0</v>
      </c>
      <c r="E20" s="26">
        <f>E14+E17</f>
        <v>784435.67410291219</v>
      </c>
      <c r="F20" s="26">
        <f>F14+F17</f>
        <v>1021442.0101029128</v>
      </c>
      <c r="G20" s="26">
        <f>G14+G17</f>
        <v>4670677.2101029139</v>
      </c>
    </row>
    <row r="22" spans="1:7" x14ac:dyDescent="0.25">
      <c r="A22" s="10" t="s">
        <v>166</v>
      </c>
      <c r="B22" s="27">
        <f>IRR(B19:G19)</f>
        <v>0.20283468018952533</v>
      </c>
    </row>
    <row r="23" spans="1:7" x14ac:dyDescent="0.25">
      <c r="A23" s="10" t="s">
        <v>167</v>
      </c>
      <c r="B23" s="28">
        <f>SUM(C19:G19)/ABS(B19)</f>
        <v>1.6895895785055941</v>
      </c>
    </row>
    <row r="24" spans="1:7" x14ac:dyDescent="0.25">
      <c r="A24" s="10" t="s">
        <v>168</v>
      </c>
      <c r="B24" s="26">
        <f>SUM(C20:G20)</f>
        <v>6476554.8943087384</v>
      </c>
    </row>
  </sheetData>
  <mergeCells count="1">
    <mergeCell ref="A1:G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4"/>
  <sheetViews>
    <sheetView showGridLines="0" workbookViewId="0">
      <selection sqref="A1:G1"/>
    </sheetView>
  </sheetViews>
  <sheetFormatPr defaultRowHeight="15" x14ac:dyDescent="0.25"/>
  <cols>
    <col min="1" max="1" width="36" customWidth="1"/>
    <col min="2" max="2" width="18" customWidth="1"/>
    <col min="3" max="7" width="14" customWidth="1"/>
  </cols>
  <sheetData>
    <row r="1" spans="1:7" ht="15.75" x14ac:dyDescent="0.25">
      <c r="A1" s="29" t="s">
        <v>169</v>
      </c>
      <c r="B1" s="30"/>
      <c r="C1" s="30"/>
      <c r="D1" s="30"/>
      <c r="E1" s="30"/>
      <c r="F1" s="30"/>
      <c r="G1" s="30"/>
    </row>
    <row r="3" spans="1:7" x14ac:dyDescent="0.25">
      <c r="A3" s="31" t="s">
        <v>170</v>
      </c>
      <c r="B3" s="30"/>
    </row>
    <row r="4" spans="1:7" x14ac:dyDescent="0.25">
      <c r="A4" s="2" t="s">
        <v>171</v>
      </c>
      <c r="B4" s="8">
        <f>'Operating Assumptions'!B25</f>
        <v>2625000</v>
      </c>
    </row>
    <row r="5" spans="1:7" x14ac:dyDescent="0.25">
      <c r="A5" s="2" t="s">
        <v>172</v>
      </c>
      <c r="B5" s="8">
        <f>'Refi Analysis'!B10</f>
        <v>2204775.9999999991</v>
      </c>
    </row>
    <row r="6" spans="1:7" x14ac:dyDescent="0.25">
      <c r="A6" s="2" t="s">
        <v>173</v>
      </c>
      <c r="B6" s="18">
        <f>'Refi Analysis'!B12</f>
        <v>0.83991466666666637</v>
      </c>
    </row>
    <row r="7" spans="1:7" x14ac:dyDescent="0.25">
      <c r="A7" s="2" t="s">
        <v>174</v>
      </c>
      <c r="B7" s="8">
        <f>'Refi Analysis'!B17</f>
        <v>1276802.512628641</v>
      </c>
    </row>
    <row r="8" spans="1:7" x14ac:dyDescent="0.25">
      <c r="A8" s="2" t="s">
        <v>175</v>
      </c>
      <c r="B8" s="18">
        <f>Returns!B22</f>
        <v>0.20283468018952533</v>
      </c>
    </row>
    <row r="9" spans="1:7" x14ac:dyDescent="0.25">
      <c r="A9" s="2" t="s">
        <v>176</v>
      </c>
      <c r="B9" s="23">
        <f>Returns!B23</f>
        <v>1.6895895785055941</v>
      </c>
    </row>
    <row r="12" spans="1:7" x14ac:dyDescent="0.25">
      <c r="A12" s="31" t="s">
        <v>177</v>
      </c>
      <c r="B12" s="30"/>
      <c r="C12" s="30"/>
      <c r="D12" s="30"/>
      <c r="E12" s="30"/>
      <c r="F12" s="30"/>
      <c r="G12" s="30"/>
    </row>
    <row r="13" spans="1:7" x14ac:dyDescent="0.25">
      <c r="B13" s="12" t="s">
        <v>143</v>
      </c>
      <c r="C13" s="12" t="s">
        <v>144</v>
      </c>
      <c r="D13" s="12" t="s">
        <v>145</v>
      </c>
      <c r="E13" s="12" t="s">
        <v>146</v>
      </c>
      <c r="F13" s="12" t="s">
        <v>147</v>
      </c>
      <c r="G13" s="12" t="s">
        <v>148</v>
      </c>
    </row>
    <row r="14" spans="1:7" x14ac:dyDescent="0.25">
      <c r="A14" s="2" t="s">
        <v>178</v>
      </c>
      <c r="B14" s="8">
        <f>Returns!B19</f>
        <v>-2625000</v>
      </c>
      <c r="C14" s="8">
        <f>Returns!C19</f>
        <v>105000</v>
      </c>
      <c r="D14" s="8">
        <f>Returns!D19</f>
        <v>2414775.9999999991</v>
      </c>
      <c r="E14" s="8">
        <f>Returns!E19</f>
        <v>492366.83852572873</v>
      </c>
      <c r="F14" s="8">
        <f>Returns!F19</f>
        <v>255360.5025257282</v>
      </c>
      <c r="G14" s="8">
        <f>Returns!G19</f>
        <v>1167669.3025257285</v>
      </c>
    </row>
  </sheetData>
  <mergeCells count="3">
    <mergeCell ref="A3:B3"/>
    <mergeCell ref="A1:G1"/>
    <mergeCell ref="A12:G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Operating Assumptions</vt:lpstr>
      <vt:lpstr>Sources &amp; Uses</vt:lpstr>
      <vt:lpstr>Construction Draw Schedule</vt:lpstr>
      <vt:lpstr>Interest Reserve</vt:lpstr>
      <vt:lpstr>Debt Service</vt:lpstr>
      <vt:lpstr>Credit Memo</vt:lpstr>
      <vt:lpstr>Refi Analysis</vt:lpstr>
      <vt:lpstr>Returns</vt:lpstr>
      <vt:lpstr>Investor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Bosworth</dc:creator>
  <cp:lastModifiedBy>Dennis Bosworth</cp:lastModifiedBy>
  <dcterms:created xsi:type="dcterms:W3CDTF">2026-03-24T21:15:20Z</dcterms:created>
  <dcterms:modified xsi:type="dcterms:W3CDTF">2026-03-24T21:15:20Z</dcterms:modified>
</cp:coreProperties>
</file>